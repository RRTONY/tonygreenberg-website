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ull Detail" sheetId="2" state="visible" r:id="rId4"/>
    <sheet name="Remaining Work" sheetId="3" state="visible" r:id="rId5"/>
  </sheets>
  <definedNames>
    <definedName function="false" hidden="true" localSheetId="1" name="_xlnm._FilterDatabase" vbProcedure="false">'Full Detail'!$A$1:$D$318</definedName>
    <definedName function="false" hidden="true" localSheetId="2" name="_xlnm._FilterDatabase" vbProcedure="false">'Remaining Work'!$A$1:$D$32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<sst xmlns="http://schemas.openxmlformats.org/spreadsheetml/2006/main" count="1339" uniqueCount="608">
  <si>
    <t xml:space="preserve">Tony Greenberg site — Next.js migration status</t>
  </si>
  <si>
    <t xml:space="preserve">Generated from NEXTJS-MIGRATION-TODO.md on 2026-10-07 by scripts/build-migration-status-report.py — a living document; re-run the script after updating the todo file. Counts are formulas over the Full Detail tab.</t>
  </si>
  <si>
    <t xml:space="preserve">Phase</t>
  </si>
  <si>
    <t xml:space="preserve">Done</t>
  </si>
  <si>
    <t xml:space="preserve">Remaining</t>
  </si>
  <si>
    <t xml:space="preserve">Deferred</t>
  </si>
  <si>
    <t xml:space="preserve">Total</t>
  </si>
  <si>
    <t xml:space="preserve">% Complete</t>
  </si>
  <si>
    <t xml:space="preserve">Phase 0 — Bootstrap</t>
  </si>
  <si>
    <t xml:space="preserve">Phase 1 — Sanity Studio &amp; Schema</t>
  </si>
  <si>
    <t xml:space="preserve">Phase 2 — Supabase</t>
  </si>
  <si>
    <t xml:space="preserve">Phase 3 — Shared Layout &amp; Design System</t>
  </si>
  <si>
    <t xml:space="preserve">Phase 4 — Marketing Core Pages (30 routes)</t>
  </si>
  <si>
    <t xml:space="preserve">Phase 5 — Blog Engine (Sanity-backed)</t>
  </si>
  <si>
    <t xml:space="preserve">Phase 6 — BrewSoul (28 routes)</t>
  </si>
  <si>
    <t xml:space="preserve">Phase 7 — PRI &amp; Kava Encyclopedias (19 routes)</t>
  </si>
  <si>
    <t xml:space="preserve">Phase 8 — Attention Theft Manifesto (7 routes)</t>
  </si>
  <si>
    <t xml:space="preserve">Phase 9 — Assessments (33 routes)</t>
  </si>
  <si>
    <t xml:space="preserve">Phase 10 — FauxTony Chatbot — CANCELLED (2026-09-10)</t>
  </si>
  <si>
    <t xml:space="preserve">Phase 11 — Code MCP Server — REBUILT (2026-09-29)</t>
  </si>
  <si>
    <t xml:space="preserve">Phase 12 — SEO Hardening, Redirects &amp; Cutover Prep</t>
  </si>
  <si>
    <t xml:space="preserve">Phase 13 — Images Needed in Sanity</t>
  </si>
  <si>
    <t xml:space="preserve">Phase 14 — QA &amp; Launch</t>
  </si>
  <si>
    <t xml:space="preserve">TOTAL</t>
  </si>
  <si>
    <t xml:space="preserve">Route / Item</t>
  </si>
  <si>
    <t xml:space="preserve">Status</t>
  </si>
  <si>
    <t xml:space="preserve">Notes</t>
  </si>
  <si>
    <t xml:space="preserve">Phase name</t>
  </si>
  <si>
    <t xml:space="preserve">Scaffold Next.js 16 (App Router, TypeScript, Tailwind v4, src/ dir, @/* import alias) at web/</t>
  </si>
  <si>
    <t xml:space="preserve">Initialize shadcn/ui (Radix base, Nova preset, CSS variables)</t>
  </si>
  <si>
    <t xml:space="preserve">Install core UI components (button, card, dialog, sheet, dropdown-menu, accordion, tabs, avatar, tooltip, separator, select, checkbox, radio…</t>
  </si>
  <si>
    <t xml:space="preserve">-group, switch, popover, navigation-menu, badge, input, label, skeleton, progress, alert, scroll-area, carousel, aspect-ratio, hover-card, sonner, slider, toggle, toggle-group)</t>
  </si>
  <si>
    <t xml:space="preserve">Install Sanity (sanity, next-sanity, @sanity/image-url, @sanity/vision, @portabletext/react)</t>
  </si>
  <si>
    <t xml:space="preserve">Install Supabase (@supabase/supabase-js, @supabase/ssr)</t>
  </si>
  <si>
    <t xml:space="preserve">Install zod, react-hook-form, @hookform/resolvers, date-fns, next-themes, @anthropic-ai/sdk, reading-time</t>
  </si>
  <si>
    <t xml:space="preserve">Fix pnpm-workspace.yaml allowBuilds (esbuild, sharp → true)</t>
  </si>
  <si>
    <t xml:space="preserve">Configure next.config.ts images.remotePatterns (Sanity CDN + legacy Manus/CloudFront hosts, temporary)</t>
  </si>
  <si>
    <t xml:space="preserve">Read Next.js 16 bundled docs (node_modules/next/dist/docs/) for breaking changes vs</t>
  </si>
  <si>
    <t xml:space="preserve">Next 13-15 (proxy.ts vs middleware.ts, Promise params, cache directives, Image config defaults) — confirmed, documented in agent notes</t>
  </si>
  <si>
    <t xml:space="preserve">pnpm install clean, pnpm dev boots with no errors (verified</t>
  </si>
  <si>
    <t xml:space="preserve">Turbopack ready in 375ms, HTTP 200)</t>
  </si>
  <si>
    <t xml:space="preserve">Add .env.local.example documenting every env var this app needs (Sanity project ID/dataset/token, Supabase URL/anon/service keys, Anthropic API key, site URL)</t>
  </si>
  <si>
    <t xml:space="preserve">web/README.md rewritten</t>
  </si>
  <si>
    <t xml:space="preserve">what this app is, how it relates to the legacy app at the repo root, how to run it, how Sanity/Supabase are wired, Next.js 16 breaking-change notes</t>
  </si>
  <si>
    <t xml:space="preserve">Connected to an existing Sanity project already owned by the team ("Tonygreenberg", project ID a3q1cyqs, dataset production)</t>
  </si>
  <si>
    <t xml:space="preserve">found via an already-authenticated CLI session rather than creating a new one; recorded in web/.env.local</t>
  </si>
  <si>
    <t xml:space="preserve">Embed Studio at web/src/app/studio/[[...tool]]/page.tsx</t>
  </si>
  <si>
    <t xml:space="preserve">Schema</t>
  </si>
  <si>
    <t xml:space="preserve">post (title, slug, subtitle, excerpt, pullQuote, body [portable text], heroImage, author ref, category ref, tags[], publishedAt, readTime, seo) — actual path web/src/sanity/schemas/post.ts</t>
  </si>
  <si>
    <t xml:space="preserve">author (name, slug, avatar, bio)</t>
  </si>
  <si>
    <t xml:space="preserve">category (title, slug, description)</t>
  </si>
  <si>
    <t xml:space="preserve">Schema: page (title, slug, body, seo)</t>
  </si>
  <si>
    <t xml:space="preserve">for marketing pages that need CMS-editable copy</t>
  </si>
  <si>
    <t xml:space="preserve">Schema: seo object (metaTitle, metaDescription, keywords, ogImage, noIndex)</t>
  </si>
  <si>
    <t xml:space="preserve">reused across post/page/pageSeo</t>
  </si>
  <si>
    <t xml:space="preserve">Schema: pageSeo (route-keyed SEO override, not in the original plan</t>
  </si>
  <si>
    <t xml:space="preserve">added because this site has far more routes than a page document per route would suit; see the schema file for why)</t>
  </si>
  <si>
    <t xml:space="preserve">siteSettings singleton (site title, tagline, logo, defaultSeo, navigation, footerColumns, footerText, socialLinks)</t>
  </si>
  <si>
    <t xml:space="preserve">Schema: redirect (source, destination, permanent)</t>
  </si>
  <si>
    <t xml:space="preserve">backs the Manus→Next.js 301 map (Phase 12)</t>
  </si>
  <si>
    <t xml:space="preserve">Sanity client + typed query helpers</t>
  </si>
  <si>
    <t xml:space="preserve">actual path web/src/lib/sanity/client.ts + queries.ts (not web/src/sanity/* as originally sketched here; schemas live in src/sanity/, app-facing read code lives in src/lib/sanity/)</t>
  </si>
  <si>
    <t xml:space="preserve">Sanity image URL builder helper (web/src/lib/sanity/image.ts) wrapping @sanity/image-url, used by next/image everywhere</t>
  </si>
  <si>
    <t xml:space="preserve">Write one-off migration script (web/scripts/migrate-blog-posts.ts, pnpm migrate:blog [--dry-run])</t>
  </si>
  <si>
    <t xml:space="preserve">reads client/src/data/blogData.json (121 posts) → creates Sanity post documents, idempotent by deterministic _id (skips posts that already exist)</t>
  </si>
  <si>
    <t xml:space="preserve">Ran the migration: 121/121 posts created, 0 errors</t>
  </si>
  <si>
    <t xml:space="preserve">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</si>
  <si>
    <t xml:space="preserve">Spot-check 5-10 migrated posts in Studio (/studio)</t>
  </si>
  <si>
    <t xml:space="preserve">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</si>
  <si>
    <t xml:space="preserve">Real bug found and fixed</t>
  </si>
  <si>
    <t xml:space="preserve">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</si>
  <si>
    <t xml:space="preserve">Supabase project created (2026-10-01): tonygreenberg (free plan, West US), https://zukaqnbknrsmixjvozlj.supabase.co</t>
  </si>
  <si>
    <t xml:space="preserve">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</si>
  <si>
    <t xml:space="preserve">web/src/lib/supabase/server.ts (SSR client for Server Components/Actions, current getAll/setAll cookie API) and client.ts (browser client) helpers</t>
  </si>
  <si>
    <t xml:space="preserve">web/src/lib/supabase/service-role.ts</t>
  </si>
  <si>
    <t xml:space="preserve">bypasses RLS, server-only, for chat logging (not in the original plan, but required to satisfy "service-role write only, no public read" below)</t>
  </si>
  <si>
    <t xml:space="preserve">web/src/proxy.ts</t>
  </si>
  <si>
    <t xml:space="preserve">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</si>
  <si>
    <t xml:space="preserve">Auth: email/password login for internal approvers</t>
  </si>
  <si>
    <t xml:space="preserve">web/src/app/(auth)/login/page.tsx + login-form.tsx + actions.ts (Server Action via useActionState, real spinner on submit per the loader rule in CONTRIBUTING.md, not text). Renders correctly now (verified: HTTP 200, real form) but signing in will fail until the Supabase project above actually exists</t>
  </si>
  <si>
    <t xml:space="preserve">SQL migration written (web/supabase/migrations/0001_init.sql)</t>
  </si>
  <si>
    <t xml:space="preserve">change_requests table, chat_conversations + chat_messages tables, RLS enabled on all three. Not yet run against a live database — needs the project above first (supabase db push once the CLI is linked, or paste into the SQL editor)</t>
  </si>
  <si>
    <t xml:space="preserve">Row-level security policies written in that same migration</t>
  </si>
  <si>
    <t xml:space="preserve">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</si>
  <si>
    <t xml:space="preserve">Member accounts (2026-10-06, owner chose email + password)</t>
  </si>
  <si>
    <t xml:space="preserve">/login,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</si>
  <si>
    <t xml:space="preserve">Email for the Three Friends Gate</t>
  </si>
  <si>
    <t xml:space="preserve">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</si>
  <si>
    <t xml:space="preserve">Run the database scripts once, in order</t>
  </si>
  <si>
    <t xml:space="preserve">(supabase/migrations/0001_member_features.sql,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</si>
  <si>
    <t xml:space="preserve">Root layout (web/src/app/layout.tsx)</t>
  </si>
  <si>
    <t xml:space="preserve">fonts (Playfair Display / DM Mono / Source Sans 3 via next/font/google), &lt;TooltipProvider&gt;, theme provider (next-themes, class strategy), global &lt;Toaster /&gt; (sonner), skip-to-content link</t>
  </si>
  <si>
    <t xml:space="preserve">Global metadata defaults in root layout (metadataBase, title template, default OG/Twitter card)</t>
  </si>
  <si>
    <t xml:space="preserve">Favicon (src/app/icon.tsx)</t>
  </si>
  <si>
    <t xml:space="preserve">real brand mark, not the default Next.js icon: a generated 32×32 PNG of the "G" from the header's actual "TonyG" wordmark (Playfair Display, brand-gold), since the full wordmark doesn't read at favicon scale. Deleted the stale default favicon.ico.</t>
  </si>
  <si>
    <t xml:space="preserve">Header/nav component (site-header.tsx)</t>
  </si>
  <si>
    <t xml:space="preserve">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</si>
  <si>
    <t xml:space="preserve">Mobile nav (shadcn Sheet + Accordion, real nav content, no framer-motion)</t>
  </si>
  <si>
    <t xml:space="preserve">Footer component (site-footer.tsx)</t>
  </si>
  <si>
    <t xml:space="preserve">real content ported from Layout.tsx's footer JSX (quote, contact, BioChain routing note, socials, CTAs, bio line, legal/copyright). Note: footerData.json turned out to be per-post article-footer data (exercise/related/riddle/CTA), not site footer content — that belongs in Phase 5, not here</t>
  </si>
  <si>
    <t xml:space="preserve">Brand design tokens in globals.css (--brand-gold/--brand-gold-light/backgrounds/borders) ported from the real site palette (#8B6914, #D4B96A…</t>
  </si>
  <si>
    <t xml:space="preserve">, #0A0A10, #FAFAF7, purple-tinted borders) instead of shadcn's default grayscale theme</t>
  </si>
  <si>
    <t xml:space="preserve">Shared typography components</t>
  </si>
  <si>
    <t xml:space="preserve">ended up built directly in Phase 5 (portable-text.tsx, drop-cap CSS, pull-quote block) rather than as a separate Phase 3 deliverable, since that's where they're actually consumed</t>
  </si>
  <si>
    <t xml:space="preserve">robots.ts (AI crawlers explicitly allowed per the current SEO plan, scraper bots blocked) and sitemap.ts (live from Sanity post slugs alread…</t>
  </si>
  <si>
    <t xml:space="preserve">y, extended per-section in later phases)</t>
  </si>
  <si>
    <t xml:space="preserve">Error boundary (error.tsx) and not-found.tsx (real legacy 404 copy + countdown-redirect behavior ported from pages/NotFound.tsx)</t>
  </si>
  <si>
    <t xml:space="preserve">Loading UI (loading.tsx) using shadcn Skeleton</t>
  </si>
  <si>
    <t xml:space="preserve">Icon library decision</t>
  </si>
  <si>
    <t xml:space="preserve">lucide-react for all standard UI icons (menu, sun/moon, chevrons); react-icons/fa6 only for the X/LinkedIn brand marks, since lucide-react v1 dropped brand/logo icons entirely</t>
  </si>
  <si>
    <t xml:space="preserve">Top-of-page navigation progress bar (nav-progress-bar.tsx)</t>
  </si>
  <si>
    <t xml:space="preserve">visible feedback on route transitions, built on the Navigation API (window.navigation) rather than a dependency like nprogress; progressive enhancement, renders nothing where unsupported</t>
  </si>
  <si>
    <t xml:space="preserve">Verify header/footer/nav visually in a real browser</t>
  </si>
  <si>
    <t xml:space="preserve">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</si>
  <si>
    <t xml:space="preserve">/ (homepage)</t>
  </si>
  <si>
    <t xml:space="preserve">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</si>
  <si>
    <t xml:space="preserve">/the-letter</t>
  </si>
  <si>
    <t xml:space="preserve">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</si>
  <si>
    <t xml:space="preserve">/walk-through</t>
  </si>
  <si>
    <t xml:space="preserve">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</si>
  <si>
    <t xml:space="preserve">/the-territory</t>
  </si>
  <si>
    <t xml:space="preserve">Territory.tsx. Real content ported (10 heroes/influences with full notes, Operating Philosophy, pull quote, "The Lesson" callout, next-page link). Verified live: 200 OK, real content, correct next-page link.</t>
  </si>
  <si>
    <t xml:space="preserve">/engine-room</t>
  </si>
  <si>
    <t xml:space="preserve">EngineRoom.tsx. Real content ported (6 active ventures, 4 active engagements, pull quote, "The Lesson" callout, next-page link). Verified live: 200 OK, real content, correct next-page link.</t>
  </si>
  <si>
    <t xml:space="preserve">/under-nda</t>
  </si>
  <si>
    <t xml:space="preserve">UnderNDA.tsx. Real content ported (Corridor overview, pull quote, "What We're Building" list, inline quote, "The Lesson", next-page link). Verified live: 200 OK.</t>
  </si>
  <si>
    <t xml:space="preserve">/the-body</t>
  </si>
  <si>
    <t xml:space="preserve">TheBody.tsx. Real content ported (Alt Therapy Scorecard, Current Protocols, Peptide Research Tools links, pull quote, "The Lesson"). Hero image rescued from legacy /api/img/ into Sanity before porting. Verified live: 200 OK, real image.</t>
  </si>
  <si>
    <t xml:space="preserve">/the-nightstand</t>
  </si>
  <si>
    <t xml:space="preserve">Nightstand.tsx. Real content ported (7 books, 5 key concepts, pull quote, "The Lesson"). Hero image rescued into Sanity. Verified live: 200 OK, real image.</t>
  </si>
  <si>
    <t xml:space="preserve">/the-web</t>
  </si>
  <si>
    <t xml:space="preserve">TheWeb.tsx. Real content ported (20 client badges, 4 key partnerships, pull quote, adage strip, "The Lesson"). Hero image rescued into Sanity. Verified live: 200 OK, real image.</t>
  </si>
  <si>
    <t xml:space="preserve">/pick-up-the-phone</t>
  </si>
  <si>
    <t xml:space="preserve">PickUp.tsx. Real content ported (Engagement Audit CTA to /engage, email/location, "What to Talk About" topics, social links, pull quote, "The Lesson"). Verified live: 200 OK.</t>
  </si>
  <si>
    <t xml:space="preserve">/journeys</t>
  </si>
  <si>
    <t xml:space="preserve">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</si>
  <si>
    <t xml:space="preserve">/recent-creations</t>
  </si>
  <si>
    <t xml:space="preserve">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</si>
  <si>
    <t xml:space="preserve">/intel</t>
  </si>
  <si>
    <t xml:space="preserve">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</si>
  <si>
    <t xml:space="preserve">/about</t>
  </si>
  <si>
    <t xml:space="preserve">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</si>
  <si>
    <t xml:space="preserve">/speaking</t>
  </si>
  <si>
    <t xml:space="preserve">Speaking.tsx. Real content ported (4 speaking topics, 4 formats, rooms spoken at, CTA). Verified live: 200 OK.</t>
  </si>
  <si>
    <t xml:space="preserve">/ecosystem</t>
  </si>
  <si>
    <t xml:space="preserve">Ecosystem.tsx. Real content ported (What It Is, Who It's For, What Members Receive, invitation CTA). Verified live: 200 OK.</t>
  </si>
  <si>
    <t xml:space="preserve">/start-here</t>
  </si>
  <si>
    <t xml:space="preserve">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</si>
  <si>
    <t xml:space="preserve">/published</t>
  </si>
  <si>
    <t xml:space="preserve">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</si>
  <si>
    <t xml:space="preserve">/clients</t>
  </si>
  <si>
    <t xml:space="preserve">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</si>
  <si>
    <t xml:space="preserve">/series</t>
  </si>
  <si>
    <t xml:space="preserve">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</si>
  <si>
    <t xml:space="preserve">/framework</t>
  </si>
  <si>
    <t xml:space="preserve">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</si>
  <si>
    <t xml:space="preserve">/spirits</t>
  </si>
  <si>
    <t xml:space="preserve">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</si>
  <si>
    <t xml:space="preserve">/community (+ /find-my-tribe → 308 redirect, next.config.ts)</t>
  </si>
  <si>
    <t xml:space="preserve">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</si>
  <si>
    <t xml:space="preserve">/engage</t>
  </si>
  <si>
    <t xml:space="preserve">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</si>
  <si>
    <t xml:space="preserve">/amplifier</t>
  </si>
  <si>
    <t xml:space="preserve">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</si>
  <si>
    <t xml:space="preserve">/diamond-cut</t>
  </si>
  <si>
    <t xml:space="preserve">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</si>
  <si>
    <t xml:space="preserve">/essays</t>
  </si>
  <si>
    <t xml:space="preserve">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</si>
  <si>
    <t xml:space="preserve">/invest</t>
  </si>
  <si>
    <t xml:space="preserve">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</si>
  <si>
    <t xml:space="preserve">/akbar</t>
  </si>
  <si>
    <t xml:space="preserve">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</si>
  <si>
    <t xml:space="preserve">/living-declaration (+ /manifesto → 308 redirect, next.config.ts)</t>
  </si>
  <si>
    <t xml:space="preserve">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</si>
  <si>
    <t xml:space="preserve">/protecting-your-business</t>
  </si>
  <si>
    <t xml:space="preserve">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</si>
  <si>
    <t xml:space="preserve">/alex-azzi (+ /cheshire-grin, 308-redirected to it)</t>
  </si>
  <si>
    <t xml:space="preserve">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</si>
  <si>
    <t xml:space="preserve">(while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</si>
  <si>
    <t xml:space="preserve">/rip-peptide-sciences</t>
  </si>
  <si>
    <t xml:space="preserve">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</si>
  <si>
    <t xml:space="preserve">/whats-legal</t>
  </si>
  <si>
    <t xml:space="preserve">WhatsLegal.tsx. Real content ported in full — 17 real compounds with real US/UK/Australia regulatory status, searchable/risk-filterable table, the 3 "key distinctions" callouts. No backend dependency. Verified live: 200 OK, full table + all real compounds present.</t>
  </si>
  <si>
    <t xml:space="preserve">/verify-your-coa</t>
  </si>
  <si>
    <t xml:space="preserve">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</si>
  <si>
    <t xml:space="preserve">/price-tracker</t>
  </si>
  <si>
    <t xml:space="preserve">PriceTracker.tsx. Real content ported in full — 14 real compounds with research-vendor vs. telehealth price ranges, Tony's takes, sortable table, and the interactive up-to-4 stack cost calculator. Reused PeptideShutdownBanner. Verified live: 200 OK, full price table + calculator present.</t>
  </si>
  <si>
    <t xml:space="preserve">/test-your-peptides</t>
  </si>
  <si>
    <t xml:space="preserve">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</si>
  <si>
    <t xml:space="preserve">/peptide-library</t>
  </si>
  <si>
    <t xml:space="preserve">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</si>
  <si>
    <t xml:space="preserve">/peptide-hall-of-shame</t>
  </si>
  <si>
    <t xml:space="preserve">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</si>
  <si>
    <t xml:space="preserve">/peptide-supply-chain</t>
  </si>
  <si>
    <t xml:space="preserve">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</si>
  <si>
    <t xml:space="preserve">/peptide-matrix</t>
  </si>
  <si>
    <t xml:space="preserve">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</si>
  <si>
    <t xml:space="preserve">/peptide-watch</t>
  </si>
  <si>
    <t xml:space="preserve">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</si>
  <si>
    <t xml:space="preserve">/quiz_25q</t>
  </si>
  <si>
    <t xml:space="preserve">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</si>
  <si>
    <t xml:space="preserve">/clock-keeper-part-2</t>
  </si>
  <si>
    <t xml:space="preserve">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</si>
  <si>
    <t xml:space="preserve">/charity-scorecard + /charity-scorecard/:slug</t>
  </si>
  <si>
    <t xml:space="preserve">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</si>
  <si>
    <t xml:space="preserve">/find-your-journey</t>
  </si>
  <si>
    <t xml:space="preserve">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</si>
  <si>
    <t xml:space="preserve">/skippy</t>
  </si>
  <si>
    <t xml:space="preserve">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</si>
  <si>
    <t xml:space="preserve">/ecosystem-map</t>
  </si>
  <si>
    <t xml:space="preserve">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</si>
  <si>
    <t xml:space="preserve">/my-highlights</t>
  </si>
  <si>
    <t xml:space="preserve">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</si>
  <si>
    <t xml:space="preserve">/my-impact</t>
  </si>
  <si>
    <t xml:space="preserve">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</si>
  <si>
    <t xml:space="preserve">/friend-gate</t>
  </si>
  <si>
    <t xml:space="preserve">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</si>
  <si>
    <t xml:space="preserve">/friend-survey/:token</t>
  </si>
  <si>
    <t xml:space="preserve">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</si>
  <si>
    <t xml:space="preserve">/impact-dashboard</t>
  </si>
  <si>
    <t xml:space="preserve">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</si>
  <si>
    <t xml:space="preserve">/medicine-sequencing</t>
  </si>
  <si>
    <t xml:space="preserve">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</si>
  <si>
    <t xml:space="preserve">/the-philosophy</t>
  </si>
  <si>
    <t xml:space="preserve">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</si>
  <si>
    <t xml:space="preserve">/post-intervention</t>
  </si>
  <si>
    <t xml:space="preserve">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</si>
  <si>
    <t xml:space="preserve">/flow-circuit</t>
  </si>
  <si>
    <t xml:space="preserve">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</si>
  <si>
    <t xml:space="preserve">/supplier-intake + /supplier-intake-long/:token</t>
  </si>
  <si>
    <t xml:space="preserve">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</si>
  <si>
    <t xml:space="preserve">/subscribe</t>
  </si>
  <si>
    <t xml:space="preserve">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</si>
  <si>
    <t xml:space="preserve">/shop, /payment-success, /payment-cancel</t>
  </si>
  <si>
    <t xml:space="preserve">defer: these are Stripe-backed; flag for the later billing-migration phase, do not port checkout logic yet, static/informational content only if ported now</t>
  </si>
  <si>
    <t xml:space="preserve">Drop dead code, do not port</t>
  </si>
  <si>
    <t xml:space="preserve">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</si>
  <si>
    <t xml:space="preserve">/america-unbundled-field-guide</t>
  </si>
  <si>
    <t xml:space="preserve">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</si>
  <si>
    <t xml:space="preserve">/america-unbundled</t>
  </si>
  <si>
    <t xml:space="preserve">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</si>
  <si>
    <t xml:space="preserve">/ and /blog</t>
  </si>
  <si>
    <t xml:space="preserve">blog index, paginated (12/page), category filter pills, real Sanity data — verified live: 200 OK, real post links, real category links</t>
  </si>
  <si>
    <t xml:space="preserve">/blog/[slug]</t>
  </si>
  <si>
    <t xml:space="preserve">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</si>
  <si>
    <t xml:space="preserve">/blog/category/[slug]</t>
  </si>
  <si>
    <t xml:space="preserve">category listing + pagination (not explicitly in the original phase list, but linked from the index's category pills — built so that link isn't a 404; own quality bar already requires "every page links to 2+", not dead links)</t>
  </si>
  <si>
    <t xml:space="preserve">generateStaticParams for all post slugs and category slugs (SSG)</t>
  </si>
  <si>
    <t xml:space="preserve">sitemap.ts already live from real Sanity data (122 URLs verified</t>
  </si>
  <si>
    <t xml:space="preserve">homepage + 121 posts)</t>
  </si>
  <si>
    <t xml:space="preserve">/search</t>
  </si>
  <si>
    <t xml:space="preserve">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</si>
  <si>
    <t xml:space="preserve">Header search icon → command-palette modal, matching legacy's real SearchPalette.tsx UX (a page-navigation link before this)</t>
  </si>
  <si>
    <t xml:space="preserve">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</si>
  <si>
    <t xml:space="preserve">/articles</t>
  </si>
  <si>
    <t xml:space="preserve">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</si>
  <si>
    <t xml:space="preserve">/thesis-threads</t>
  </si>
  <si>
    <t xml:space="preserve">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</si>
  <si>
    <t xml:space="preserve">/impact-futurism</t>
  </si>
  <si>
    <t xml:space="preserve">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</si>
  <si>
    <t xml:space="preserve">On-demand webhook-triggered revalidation on Sanity publish (built, not yet pushed</t>
  </si>
  <si>
    <t xml:space="preserve">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</si>
  <si>
    <t xml:space="preserve">Article footer standardization (built, not yet pushed</t>
  </si>
  <si>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</si>
  <si>
    <t xml:space="preserve">Spot-check all 121 migrated posts' body formatting (automated, not a Studio visual pass</t>
  </si>
  <si>
    <t xml:space="preserve">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</si>
  <si>
    <t xml:space="preserve">Reconcile blogData.json vs. the legacy blogPosts.ts module. Resolved</t>
  </si>
  <si>
    <t xml:space="preserve">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</si>
  <si>
    <t xml:space="preserve">Preserve internal cross-link structure from client/src/data/linkMap.ts / readingPaths.ts (built, not yet pushed</t>
  </si>
  <si>
    <t xml:space="preserve">pending local review). Both ported as real, working features, not just cross-referenced.</t>
  </si>
  <si>
    <t xml:space="preserve">Post extras from live (2026-10-01)</t>
  </si>
  <si>
    <t xml:space="preserve">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</si>
  <si>
    <t xml:space="preserve">Lost tables restored (2026-10-01)</t>
  </si>
  <si>
    <t xml:space="preserve">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</si>
  <si>
    <t xml:space="preserve">Essays rewritten on live, saved as Sanity drafts (2026-10-01)</t>
  </si>
  <si>
    <t xml:space="preserve">(scripts/sync-live-essays.ts,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</si>
  <si>
    <t xml:space="preserve">Password gate on you-are-the-moat (done 2026-10-06, owner chose a password)</t>
  </si>
  <si>
    <t xml:space="preserve">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</si>
  <si>
    <t xml:space="preserve">Essay page rebuilt to match live (2026-10-07, asked for by the team)</t>
  </si>
  <si>
    <t xml:space="preserve">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</si>
  <si>
    <t xml:space="preserve">Essay extras moved into Sanity (2026-10-07, owner chose "publish directly")</t>
  </si>
  <si>
    <t xml:space="preserve">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</si>
  <si>
    <t xml:space="preserve">"Original post / Updated for today" switch (2026-10-07; was decision 20)</t>
  </si>
  <si>
    <t xml:space="preserve">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</si>
  <si>
    <t xml:space="preserve">The 2 live-only essays imported (2026-10-07; was decision 8)</t>
  </si>
  <si>
    <t xml:space="preserve">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</si>
  <si>
    <t xml:space="preserve">Pending drafts published (2026-10-07, owner said yes; was decision 18)</t>
  </si>
  <si>
    <t xml:space="preserve">all 31 post drafts (44 tables on 17 posts, the essays brought in line with live including Your Blood's new hero, link and clean-up fixes). No drafts left. Creation dates checked unchanged (the heading rules depend on them).</t>
  </si>
  <si>
    <t xml:space="preserve">Per-post fixes from the 2026-10-07 sweep (all 123 live/our posts compared)</t>
  </si>
  <si>
    <t xml:space="preserve">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</si>
  <si>
    <t xml:space="preserve">Reader engagement (2026-10-07)</t>
  </si>
  <si>
    <t xml:space="preserve">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</si>
  <si>
    <t xml:space="preserve">/brewsoul</t>
  </si>
  <si>
    <t xml:space="preserve">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</si>
  <si>
    <t xml:space="preserve">/brewsoul/first-sip</t>
  </si>
  <si>
    <t xml:space="preserve">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</si>
  <si>
    <t xml:space="preserve">/brewsoul/home</t>
  </si>
  <si>
    <t xml:space="preserve">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</si>
  <si>
    <t xml:space="preserve">/brewsoul/browse</t>
  </si>
  <si>
    <t xml:space="preserve">coffee listing (components/brewsoul/browse-explorer.tsx), real filter/search over the full BREWSOUL_COFFEES catalog. Verified live: 200 OK.</t>
  </si>
  <si>
    <t xml:space="preserve">/brewsoul/coffee/[id]</t>
  </si>
  <si>
    <t xml:space="preserve">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</si>
  <si>
    <t xml:space="preserve">/brewsoul/quiz</t>
  </si>
  <si>
    <t xml:space="preserve">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</si>
  <si>
    <t xml:space="preserve">/brewsoul/wall-of-shame</t>
  </si>
  <si>
    <t xml:space="preserve">content page. Real 13 entries (brand/category/evidence/severity/response) from SHAME_ENTRIES, unchanged. Category filter buttons extracted into components/brewsoul/shame-explorer.tsx (the only interactive piece) so the page itself stays a Server Component. Verified live: 200 OK.</t>
  </si>
  <si>
    <t xml:space="preserve">/brewsoul/follow-the-dollar</t>
  </si>
  <si>
    <t xml:space="preserve">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</si>
  <si>
    <t xml:space="preserve">/brewsoul/farms</t>
  </si>
  <si>
    <t xml:space="preserve">sourcing content ("Farm Passports"). Real FARMS entries (country/region/producer/altitude/story/varieties/certifications), unchanged. Fully static. Verified live: 200 OK.</t>
  </si>
  <si>
    <t xml:space="preserve">/brewsoul/mold-free</t>
  </si>
  <si>
    <t xml:space="preserve">mycotoxin content. Real verified/claims/untested split computed live over the full BREWSOUL_COFFEES catalog by moldTestStatus. Fully static. Verified live: 200 OK.</t>
  </si>
  <si>
    <t xml:space="preserve">/brewsoul/experiences</t>
  </si>
  <si>
    <t xml:space="preserve">experiential content ("Experience Map"). Real EXPERIENCES entries (farm tours, cafés, cupping labs, roastery visits), unchanged. Country filter buttons extracted into components/brewsoul/experiences-explorer.tsx, same split-out-the-interactive-bit pattern as wall-of-shame. Verified live: 200 OK.</t>
  </si>
  <si>
    <t xml:space="preserve">/brewsoul/health</t>
  </si>
  <si>
    <t xml:space="preserve">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</si>
  <si>
    <t xml:space="preserve">/brewsoul/varieties</t>
  </si>
  <si>
    <t xml:space="preserve">reference: varieties. Real VARIETIES encyclopedia entries (species/origin/genetics/cup profile/yield/disease resistance), unchanged. Search extracted into components/brewsoul/varieties-explorer.tsx. Verified live: 200 OK.</t>
  </si>
  <si>
    <t xml:space="preserve">/brewsoul/processing</t>
  </si>
  <si>
    <t xml:space="preserve">reference: processing. Real PROCESSING_METHODS entries (description/flavor impact/complexity/controversy), unchanged. Fully static. Verified live: 200 OK.</t>
  </si>
  <si>
    <t xml:space="preserve">/brewsoul/roasters</t>
  </si>
  <si>
    <t xml:space="preserve">reference: roaster directory. Real ROASTERS entries (philosophy/quality/transparency/farmer-equity scores), unchanged. Search + tier filter extracted into components/brewsoul/roasters-explorer.tsx. Verified live: 200 OK.</t>
  </si>
  <si>
    <t xml:space="preserve">/brewsoul/glossary</t>
  </si>
  <si>
    <t xml:space="preserve">reference: glossary. Real GLOSSARY terms, unchanged. Search + alphabetical grouping extracted into components/brewsoul/glossary-explorer.tsx. Verified live: 200 OK.</t>
  </si>
  <si>
    <t xml:space="preserve">/brewsoul/pairings</t>
  </si>
  <si>
    <t xml:space="preserve">reference: pairings. Real PAIRINGS (food/drink pairings by origin) and 3 real curated FLIGHTS (each linking to real coffees in the catalog), unchanged. Fully static. Verified live: 200 OK.</t>
  </si>
  <si>
    <t xml:space="preserve">/brewsoul/economics</t>
  </si>
  <si>
    <t xml:space="preserve">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</si>
  <si>
    <t xml:space="preserve">/brewsoul/compare</t>
  </si>
  <si>
    <t xml:space="preserve">tool: compare coffees. Real side-by-side comparison of up to 4 coffees across origin/producer/variety/process/price/cupping and the 4 intelligence scores (QPR/availability/wow/overall), unchanged. Interactivity in components/brewsoul/compare-explorer.tsx. Verified live: 200 OK.</t>
  </si>
  <si>
    <t xml:space="preserve">/brewsoul/blend-builder</t>
  </si>
  <si>
    <t xml:space="preserve">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</si>
  <si>
    <t xml:space="preserve">/brewsoul/drops</t>
  </si>
  <si>
    <t xml:space="preserve">tool: product drops ("Latest Drops"). Real top-12-by-overall-score coffees. No client-side state at all (legacy's own useMemo had no changing dependencies — a pure derived list), so this ships as a plain Server Component. Verified live: 200 OK.</t>
  </si>
  <si>
    <t xml:space="preserve">/brewsoul/collection</t>
  </si>
  <si>
    <t xml:space="preserve">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</si>
  <si>
    <t xml:space="preserve">/brewsoul/submit</t>
  </si>
  <si>
    <t xml:space="preserve">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</si>
  <si>
    <t xml:space="preserve">/brewsoul/prescription</t>
  </si>
  <si>
    <t xml:space="preserve">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</si>
  <si>
    <t xml:space="preserve">/brewsoul/chains</t>
  </si>
  <si>
    <t xml:space="preserve">"Top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</si>
  <si>
    <t xml:space="preserve">/brewsoul/biodynamic</t>
  </si>
  <si>
    <t xml:space="preserve">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</si>
  <si>
    <t xml:space="preserve">/brewsoul/decaf</t>
  </si>
  <si>
    <t xml:space="preserve">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</si>
  <si>
    <t xml:space="preserve">/brewsoul/esoteric</t>
  </si>
  <si>
    <t xml:space="preserve">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</si>
  <si>
    <t xml:space="preserve">/brewsoul/cities + /brewsoul/cities/[slug]</t>
  </si>
  <si>
    <t xml:space="preserve">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</si>
  <si>
    <t xml:space="preserve">/brewsoul/directory</t>
  </si>
  <si>
    <t xml:space="preserve">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</si>
  <si>
    <t xml:space="preserve">/brewsoul/guest + /brewsoul/guest/shanita-nicholas</t>
  </si>
  <si>
    <t xml:space="preserve">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</si>
  <si>
    <t xml:space="preserve">Shared: port BrewSoulLayout, CategoryBadge, JourneyBar, NextSteps as Next.js layout/components</t>
  </si>
  <si>
    <t xml:space="preserve">app/brewsoul/layout.tsx + components/brewsoul/{brewsoul-nav,category-badge,journey-bar,next-steps}.tsx, all built and reused by every /brewsoul/* route above.</t>
  </si>
  <si>
    <t xml:space="preserve">Kava shared foundation</t>
  </si>
  <si>
    <t xml:space="preserve">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</si>
  <si>
    <t xml:space="preserve">/kava (home)</t>
  </si>
  <si>
    <t xml:space="preserve">9 module cards, "Threshold Doctrine," "Sacred Masculine Triad" (Mezcal/Kava/Peyote), 4 market stats, all ported unchanged. Verified live: 200 OK, exactly 1 header/1 footer (chrome suppression confirmed), typecheck/lint clean.</t>
  </si>
  <si>
    <t xml:space="preserve">/kava/origins</t>
  </si>
  <si>
    <t xml:space="preserve">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</si>
  <si>
    <t xml:space="preserve">/kava/interactions</t>
  </si>
  <si>
    <t xml:space="preserve">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</si>
  <si>
    <t xml:space="preserve">/kava/science</t>
  </si>
  <si>
    <t xml:space="preserve">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</si>
  <si>
    <t xml:space="preserve">/kava/assessment</t>
  </si>
  <si>
    <t xml:space="preserve">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</si>
  <si>
    <t xml:space="preserve">/kava/hawaii</t>
  </si>
  <si>
    <t xml:space="preserve">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</si>
  <si>
    <t xml:space="preserve">/kava/myths</t>
  </si>
  <si>
    <t xml:space="preserve">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</si>
  <si>
    <t xml:space="preserve">/kava/caffeine</t>
  </si>
  <si>
    <t xml:space="preserve">real CYP1A2 inhibition mechanism (56%, the same pathway grapefruit juice uses on medications), real caffeine cutoff protocol, and the real kava-vs-coffee comparison table, ported unchanged. Fully static, no client island needed. Verified live: 200 OK, typecheck/lint clean.</t>
  </si>
  <si>
    <t xml:space="preserve">/kava/products</t>
  </si>
  <si>
    <t xml:space="preserve">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</si>
  <si>
    <t xml:space="preserve">/kava/certification</t>
  </si>
  <si>
    <t xml:space="preserve">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</si>
  <si>
    <t xml:space="preserve">PRI shared data: lib/content/pri-data.ts (copied verbatim from legacy pri/data.ts</t>
  </si>
  <si>
    <t xml:space="preserve">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</si>
  <si>
    <t xml:space="preserve">/psychedelic-readiness-index (core tool)</t>
  </si>
  <si>
    <t xml:space="preserve">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</si>
  <si>
    <t xml:space="preserve">PRI: /peyote-mescaline</t>
  </si>
  <si>
    <t xml:space="preserve">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</si>
  <si>
    <t xml:space="preserve">PRI: /iboga-ibogaine</t>
  </si>
  <si>
    <t xml:space="preserve">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</si>
  <si>
    <t xml:space="preserve">PRI: /iboga-compass</t>
  </si>
  <si>
    <t xml:space="preserve">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</si>
  <si>
    <t xml:space="preserve">PRI: /pri-calibration</t>
  </si>
  <si>
    <t xml:space="preserve">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</si>
  <si>
    <t xml:space="preserve">PRI: /pri-efficacy</t>
  </si>
  <si>
    <t xml:space="preserve">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</si>
  <si>
    <t xml:space="preserve">PRI: /pri-research Built 2026-10-06 behind the login: admins are the emails in ADMIN_EMAILS; everyone else gets live's "Access Denied"</t>
  </si>
  <si>
    <t xml:space="preserve">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</si>
  <si>
    <t xml:space="preserve">PRI: /facilitator-index</t>
  </si>
  <si>
    <t xml:space="preserve">"The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</si>
  <si>
    <t xml:space="preserve">Port shared safety/medicine data modules (safety-data.ts, medicine-images.ts) as typed .ts content in the new codebase</t>
  </si>
  <si>
    <t xml:space="preserve">done as part of the main PRI page above (lib/content/pri-safety-data.ts, lib/content/pri-medicine-images.ts, both copied verbatim).</t>
  </si>
  <si>
    <t xml:space="preserve">/attention-theft</t>
  </si>
  <si>
    <t xml:space="preserve">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</si>
  <si>
    <t xml:space="preserve">Legacy anchor redirects</t>
  </si>
  <si>
    <t xml:space="preserve">/attention-theft/economics, /blocker-finder, /legal, /weapons, /report → /attention-theft#&lt;anchor&gt; via next.config.ts redirects(). Verified live: all return real 308s to the correct anchor.</t>
  </si>
  <si>
    <t xml:space="preserve">Port ManifestoLayout scroll-tracking wrapper behavior</t>
  </si>
  <si>
    <t xml:space="preserve">components/manifesto/manifesto-nav.tsx tracks which section is in view on scroll and highlights the matching nav pill (desktop + mobile), real behavior kept per this line item rather than simplified away.</t>
  </si>
  <si>
    <t xml:space="preserve">HumanOS section</t>
  </si>
  <si>
    <t xml:space="preserve">/humanos,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</si>
  <si>
    <t xml:space="preserve">/find-your-me (+ /find-my-me, /discover)</t>
  </si>
  <si>
    <t xml:space="preserve">"Find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</si>
  <si>
    <t xml:space="preserve">/find-your-therapy (+ /find-my-therapy)</t>
  </si>
  <si>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</si>
  <si>
    <t xml:space="preserve">/find-your-sake</t>
  </si>
  <si>
    <t xml:space="preserve">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</si>
  <si>
    <t xml:space="preserve">/find-your-spirit (+ /find-my-spirit), along with a shared PDF-export component the rest of Phase 9 can reuse</t>
  </si>
  <si>
    <t xml:space="preserve">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</si>
  <si>
    <t xml:space="preserve">/find-your-religion</t>
  </si>
  <si>
    <t xml:space="preserve">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</si>
  <si>
    <t xml:space="preserve">/find-your-diet (+ /find-my-diet)</t>
  </si>
  <si>
    <t xml:space="preserve">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</si>
  <si>
    <t xml:space="preserve">/find-your-movement (+ /find-my-movement), along with the shared assessment foundation the rest of Phase 9 depends on</t>
  </si>
  <si>
    <t xml:space="preserve">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</si>
  <si>
    <t xml:space="preserve">/find-your-sleep (+ /find-my-sleep)</t>
  </si>
  <si>
    <t xml:space="preserve">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</si>
  <si>
    <t xml:space="preserve">/find-your-coffee (+ /find-my-coffee)</t>
  </si>
  <si>
    <t xml:space="preserve">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</si>
  <si>
    <t xml:space="preserve">/find-your-kitchen. Real 15 questions (all rendered on one page at once</t>
  </si>
  <si>
    <t xml:space="preserve">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</si>
  <si>
    <t xml:space="preserve">/find-your-style. Real 15 questions, 6 real archetypes, and the real (if crude</t>
  </si>
  <si>
    <t xml:space="preserve">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</si>
  <si>
    <t xml:space="preserve">/find-your-attachment-style (+ /find-my-attachment-style, /find-my-we)</t>
  </si>
  <si>
    <t xml:space="preserve">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</si>
  <si>
    <t xml:space="preserve">/find-your-love-language</t>
  </si>
  <si>
    <t xml:space="preserve">Real 15 questions (incl. the negative-score "disconnect" question), 5 real archetypes with descriptions/tips, and Dr. Gary Chapman's real attribution note all ported unchanged. Verified live: 200 OK, full quiz flow, typecheck/lint clean.</t>
  </si>
  <si>
    <t xml:space="preserve">/find-your-peptide (+ /find-my-peptide)</t>
  </si>
  <si>
    <t xml:space="preserve">"The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</si>
  <si>
    <t xml:space="preserve">/find-your-sexuality (+ /find-my-sexuality)</t>
  </si>
  <si>
    <t xml:space="preserve">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</si>
  <si>
    <t xml:space="preserve">/find-my</t>
  </si>
  <si>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</si>
  <si>
    <t xml:space="preserve">/assessments</t>
  </si>
  <si>
    <t xml:space="preserve">"Three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</si>
  <si>
    <t xml:space="preserve">/dharma-finder (+ /assessments/dharma-finder redirect). Structurally different from every other Phase 9 quiz</t>
  </si>
  <si>
    <t xml:space="preserve">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</si>
  <si>
    <t xml:space="preserve">/consciousness-scale (+ /assessments/consciousness-scale redirect)</t>
  </si>
  <si>
    <t xml:space="preserve">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</si>
  <si>
    <t xml:space="preserve">/grant-study (+ /assessments/grant-study redirect)</t>
  </si>
  <si>
    <t xml:space="preserve">"Find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</si>
  <si>
    <t xml:space="preserve">/soulscore</t>
  </si>
  <si>
    <t xml:space="preserve">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</si>
  <si>
    <t xml:space="preserve">/self-portrait</t>
  </si>
  <si>
    <t xml:space="preserve">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</si>
  <si>
    <t xml:space="preserve">/the-mirror (+ /life-assessment)</t>
  </si>
  <si>
    <t xml:space="preserve">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</si>
  <si>
    <t xml:space="preserve">/assessment</t>
  </si>
  <si>
    <t xml:space="preserve">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</si>
  <si>
    <t xml:space="preserve">Fix dead-end pages flagged in STATUS.md</t>
  </si>
  <si>
    <t xml:space="preserve">sake, therapy, and love-language all got real next-step navigation (WhatsNext + real "Journey Continues" links) during their ports — the last remaining one, soulscore, is now built (see above), closing this out.</t>
  </si>
  <si>
    <t xml:space="preserve">Port shared radar-chart / PDF-export / email-gate components used across assessments</t>
  </si>
  <si>
    <t xml:space="preserve">components/assessments/{radar-chart,result-actions,email-gate}.tsx, built during Phase 9 and reused unchanged by all 15 "Find Your X" quizzes plus /find-your-me.</t>
  </si>
  <si>
    <t xml:space="preserve">src/lib/admin/</t>
  </si>
  <si>
    <t xml:space="preserve">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</si>
  <si>
    <t xml:space="preserve">Per-person access via MCP_ADMIN_USERS (read/edit/write roles, tools filtered per role, calls logged, commits stamped [by &lt;name&gt;])</t>
  </si>
  <si>
    <t xml:space="preserve">mcp-auth.ts.</t>
  </si>
  <si>
    <t xml:space="preserve">Rules gate: get_project_rules serves CONTRIBUTING.md + AGENTS.md + docs/ai/ guides with a rulesVersion; all 6 write tools require it</t>
  </si>
  <si>
    <t xml:space="preserve">project-rules.ts.</t>
  </si>
  <si>
    <t xml:space="preserve">src/app/api/mcp/route.ts (header auth) + src/app/api/mcp/[token]/route.ts (token in URL).</t>
  </si>
  <si>
    <t xml:space="preserve">docs/ai/ knowledge base (README, TASK_GUIDE, PROJECT_STRUCTURE, project_mcp_server), linked from CONTRIBUTING.md.</t>
  </si>
  <si>
    <t xml:space="preserve">@modelcontextprotocol/sdk ^1.30.0 re-added (approved 2026-09-29); GITHUB_TOKEN/MCP_ADMIN_USERS/MCP_SITE_ORIGIN documented in .env.local.example.</t>
  </si>
  <si>
    <t xml:space="preserve">Verified locally</t>
  </si>
  <si>
    <t xml:space="preserve">auth (401/405), role filtering, rules-gate markers, token-in-URL route, code check, Sanity query, SEO check.</t>
  </si>
  <si>
    <t xml:space="preserve">Sign-in for the MCP server (OAuth 2.1, ported from ramprate-ui, 2026-09-30)</t>
  </si>
  <si>
    <t xml:space="preserve">/oauth/authorize sign-in page + /.well-known metadata + register/authorize/token endpoints, stateless (signed tokens, no database), no new dependency. Verified end to end on a local production build. See docs/ai/project_mcp_server.md.</t>
  </si>
  <si>
    <t xml:space="preserve">Set GITHUB_TOKEN, MCP_ADMIN_USERS, MCP_LOGIN_PASSWORD, MCP_OAUTH_SECRET, MCP_SITE_ORIGIN, MCP_PUBLIC_ORIGIN in Netlify (done) (checked 2026-…</t>
  </si>
  <si>
    <t xml:space="preserve">10-07: all already set in Netlify). Left: connect Claude.ai to /api/mcp for real, and verify the GitHub flow end to end (branch → PR → deploy preview → publish_changes) against a real PR.</t>
  </si>
  <si>
    <t xml:space="preserve">Commit a team-wide .mcp.json (URL only) once the production URL is settled.</t>
  </si>
  <si>
    <t xml:space="preserve">Google read-only tools added (2026-10-02)</t>
  </si>
  <si>
    <t xml:space="preserve">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</si>
  <si>
    <t xml:space="preserve">publish_changes fixed (2026-10-02)</t>
  </si>
  <si>
    <t xml:space="preserve">it published every draft in Sanity (31 waiting for review today), so any one-line fix would have pushed them all live. Now it publishes only the drafts named in draft_ids; unknown ids are refused before anything happens (verified).</t>
  </si>
  <si>
    <t xml:space="preserve">seo_check_page decoded &amp;#39; but not React's &amp;#x27;, so descriptions showed Tony Greenberg&amp;#x27;s and the length was off</t>
  </si>
  <si>
    <t xml:space="preserve">Fixed and verified (2026-10-02).</t>
  </si>
  <si>
    <t xml:space="preserve">Search Console access for the service account added by the team (2026-10-02); all four search_console_* tools verified with real tonygreenbe…</t>
  </si>
  <si>
    <t xml:space="preserve">rg.com data (99 clicks / 1,663 impressions in 28 days, homepage indexed, sitemap 284 URLs, 0 errors, 82 warnings).</t>
  </si>
  <si>
    <t xml:space="preserve">GOOGLE_GA_CLIENT_EMAIL, GOOGLE_GA_PRIVATE_KEY, GA4_PROPERTY_ID_TONYGREENBERG set in Netlify (2026-10-02, via the Netlify API, values checked…</t>
  </si>
  <si>
    <t xml:space="preserve"> equal to .env.local; this plan can't limit a variable's scopes, so they're available to builds and functions). Used from the next deploy.</t>
  </si>
  <si>
    <t xml:space="preserve">Per-request change system ported from ramprate-ui (2026-10-02, owner said yes)</t>
  </si>
  <si>
    <t xml:space="preserve">,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</si>
  <si>
    <t xml:space="preserve">Merge the CI fix into main</t>
  </si>
  <si>
    <t xml:space="preserve">(done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</si>
  <si>
    <t xml:space="preserve">Blocked on you (Google)</t>
  </si>
  <si>
    <t xml:space="preserve">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</si>
  <si>
    <t xml:space="preserve">Per-page generateMetadata (title, description, OG, Twitter Card, canonical) for every ported route, sourced from Sanity seo object where con…</t>
  </si>
  <si>
    <t xml:space="preserve">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</si>
  <si>
    <t xml:space="preserve">sitemap.ts generated from real Sanity content + static route list, auto-updates on publish</t>
  </si>
  <si>
    <t xml:space="preserve">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</si>
  <si>
    <t xml:space="preserve">llms.txt</t>
  </si>
  <si>
    <t xml:space="preserve">fetched verbatim from the still-live site and saved to web/public/llms.txt (real content: Tony's bio, expertise, full article index by category, every product/tool section) — do this before Manus goes away, it won't be recoverable after</t>
  </si>
  <si>
    <t xml:space="preserve">robots.txt</t>
  </si>
  <si>
    <t xml:space="preserve">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</si>
  <si>
    <t xml:space="preserve">JSON-LD</t>
  </si>
  <si>
    <t xml:space="preserve">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</si>
  <si>
    <t xml:space="preserve">Article JSON-LD on /blog/[slug], built from real per-post Sanity data (headline, image, datePublished/dateModified, author, canonical URL)</t>
  </si>
  <si>
    <t xml:space="preserve">verified live on a real post</t>
  </si>
  <si>
    <t xml:space="preserve">/path/:archetype (src/app/path/[archetype]/page.tsx)</t>
  </si>
  <si>
    <t xml:space="preserve">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</si>
  <si>
    <t xml:space="preserve">/my-journey (src/app/my-journey/page.tsx + components/assessments/my-journey-dashboard.tsx)</t>
  </si>
  <si>
    <t xml:space="preserve">"My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</si>
  <si>
    <t xml:space="preserve">/the-open-door (src/app/the-open-door/page.tsx)</t>
  </si>
  <si>
    <t xml:space="preserve">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</si>
  <si>
    <t xml:space="preserve">Homepage "Recent Updates" band (2026-09-29)</t>
  </si>
  <si>
    <t xml:space="preserve">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</si>
  <si>
    <t xml:space="preserve">Re-sync the legacy reference</t>
  </si>
  <si>
    <t xml:space="preserve">_legacy-manus-app/ is older than what's live (Recent Updates proves it), so visual diffs should be against the live site, not only that folder.</t>
  </si>
  <si>
    <t xml:space="preserve">Visual diff pass: every ported page vs</t>
  </si>
  <si>
    <t xml:space="preserve">legacy page</t>
  </si>
  <si>
    <t xml:space="preserve">Padding / spacing on the story pages matched to live (2026-10-01)</t>
  </si>
  <si>
    <t xml:space="preserve">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</si>
  <si>
    <t xml:space="preserve">Header-to-title spacing re-checked (2026-10-02)</t>
  </si>
  <si>
    <t xml:space="preserve">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</si>
  <si>
    <t xml:space="preserve">HumanOS headings in capitals like live (2026-10-02, owner said yes)</t>
  </si>
  <si>
    <t xml:space="preserve">the 4 headings live capitalises on /humanos (title, "Are you a Maximizer...", "Take the Diagnostic", "The Diagnostic") get uppercase; the words are unchanged. The subpages already matched.</t>
  </si>
  <si>
    <t xml:space="preserve">More layout gaps matched to live (2026-10-02)</t>
  </si>
  <si>
    <t xml:space="preserve">/series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</si>
  <si>
    <t xml:space="preserve">Full sweep vs live (2026-10-02)</t>
  </si>
  <si>
    <t xml:space="preserve">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</si>
  <si>
    <t xml:space="preserve">Sweep leftovers fixed (2026-10-06)</t>
  </si>
  <si>
    <t xml:space="preserve">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</si>
  <si>
    <t xml:space="preserve">Match live's redesigned pages (2026-10-06, owner said go)</t>
  </si>
  <si>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</si>
  <si>
    <t xml:space="preserve">Still different from live (needs a yes)</t>
  </si>
  <si>
    <t xml:space="preserve">blog posts (done) (done 2026-10-07, see Phase 5); /find-my on live hides the site header. /walk-through is a 404 on live now.</t>
  </si>
  <si>
    <t xml:space="preserve">Design change on live, needs a decision</t>
  </si>
  <si>
    <t xml:space="preserve">live's story pages now use Cormorant Garamond for titles (ours: Playfair Display), a lighter title weight (400 vs our 700), and a red eyebrow label (#8E1E25, wider letter spacing) instead of our gold. A site-wide font swap is a design call, so not done.</t>
  </si>
  <si>
    <t xml:space="preserve">Link check across all ported pages (no 404s, no broken internal cross-references)</t>
  </si>
  <si>
    <t xml:space="preserve">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t>
  </si>
  <si>
    <t xml:space="preserve">Lighthouse pass (performance/accessibility/SEO) on top 20 pages by traffic 2026-09-30, 20 key pages (no traffic data yet), local production …</t>
  </si>
  <si>
    <t xml:space="preserve">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</si>
  <si>
    <t xml:space="preserve">SEO audit fixes (2026-10-06)</t>
  </si>
  <si>
    <t xml:space="preserve">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</si>
  <si>
    <t xml:space="preserve">SEO audit items needing a yes (2026-10-06)</t>
  </si>
  <si>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</si>
  <si>
    <t xml:space="preserve">Connect Google Search Console + GA4 to the new deployment on day one of cutover</t>
  </si>
  <si>
    <t xml:space="preserve">Restore/adapt the manus.space triple-layer noindex lockdown pattern for any remaining staging URLs</t>
  </si>
  <si>
    <t xml:space="preserve">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</si>
  <si>
    <t xml:space="preserve">"Keep going" strip above the footer on every page (2026-10-07)</t>
  </si>
  <si>
    <t xml:space="preserve">legacy's WhereNext (deferred in Phase 3, never picked up) with its per-page suggestions, Home · Site Index · All Assessments; links pointed at current routes.</t>
  </si>
  <si>
    <t xml:space="preserve">Live-only and redesigned pages from the 2026-10-07 page sweep (188 pages compared with live)</t>
  </si>
  <si>
    <t xml:space="preserve">/the-index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</si>
  <si>
    <t xml:space="preserve">/alex-azzi locked like live (2026-10-07, owner said match it)</t>
  </si>
  <si>
    <t xml:space="preserve">same server-checked password as the locked essay (GATED_POST_PASSWORD, now also set in Netlify), live's "Restricted Access" screen, the report not in the page until unlocked, out of search and the sitemap.</t>
  </si>
  <si>
    <t xml:space="preserve">Live's title fonts and sizes (2026-10-07, "fix the style")</t>
  </si>
  <si>
    <t xml:space="preserve">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</si>
  <si>
    <t xml:space="preserve">Peptide page images rescued into Sanity and wired (2026-10-07)</t>
  </si>
  <si>
    <t xml:space="preserve">/peptide-watch hero plus its 11 section banners, /peptide-matrix and /peptide-supply-chain heroes, the /peptide-hall-of-shame hero (scripts/rescue-2026-10-07-peptide-images.ts, logged in docs/ai/manus-media-rescue.md).</t>
  </si>
  <si>
    <t xml:space="preserve">Live's editorial redesign, first group (2026-10-07)</t>
  </si>
  <si>
    <t xml:space="preserve">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</si>
  <si>
    <t xml:space="preserve">Live's redesign, second group (started 2026-10-07, cut off by the usage limit)</t>
  </si>
  <si>
    <t xml:space="preserve">/living-declaration is done (dark bands, Cormorant title; all of live's text checked present). Still to match live: /the-web, /spirits, /iboga-ibogaine (title weight 800), /find-your-journey (64px title, red label), /impact-dashboard (64px title), red labels on /published and /speaking, label colours on /recent-creations and /soulscore, /pri-calibration (title weight 900), /quiz_25q; /pri-efficacy's "Simulation / Live Calibrations" switch (counts from the pri_calibrations table); live's BrewSoul photo (already in Sanity: 1c8cf85c…-1200x670.webp) on the BrewSoul hero, first-sip, guest and browse pages; the page re-check of /clients, /humanos/connect, /peptide-hall-of-shame (its hero is rescued, not wired) and the blend-builder / biodynamic pages.</t>
  </si>
  <si>
    <t xml:space="preserve">Manus media rescue (2026-09-29)</t>
  </si>
  <si>
    <t xml:space="preserve">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</si>
  <si>
    <t xml:space="preserve">Favicon</t>
  </si>
  <si>
    <t xml:space="preserve">real "G" brand mark generated from the header's actual wordmark treatment (src/app/icon.tsx), see Phase 3</t>
  </si>
  <si>
    <t xml:space="preserve">Site-wide: logo (light + dark) beyond the current text wordmark</t>
  </si>
  <si>
    <t xml:space="preserve">(Default/fallback OG image 1200×630 exists: public/images/default-og.png, checked 2026-10-02.)</t>
  </si>
  <si>
    <t xml:space="preserve">Author photo(s) for blog author schema (Tony Greenberg headshot at minimum)</t>
  </si>
  <si>
    <t xml:space="preserve">2026-10-02: the rescued headshot is already the author avatar in Sanity; now also in every post's Article JSON-LD (author image + url /about). The JSON-LD publisher logo pointed at /favicon.ico, a 404 here; now /icon.</t>
  </si>
  <si>
    <t xml:space="preserve">Blog hero images</t>
  </si>
  <si>
    <t xml:space="preserve">audited, then migrated. Final state:</t>
  </si>
  <si>
    <t xml:space="preserve">22 posts have a real hero image, now live in Sanity (17 already on RampRate's own CloudFront + 4 rescued from the legacy /api/img/ proxy + 1…</t>
  </si>
  <si>
    <t xml:space="preserve"> rescued from /manus-storage/, all pulled over by migrate-blog-posts.ts before Manus is decommissioned)</t>
  </si>
  <si>
    <t xml:space="preserve">7 more posts got a real, unique hero image rescued from the live legacy site's newly-added art this pass (scripts/rescue-2026-09-blog-images…</t>
  </si>
  <si>
    <t xml:space="preserve">.ts — see the correction note above): california-toll-roads-legalized-scam, the-1000-hour-hold, conscious-capital-partnership-ecosystem, the-peptide-truth-65m-fraud-industry-vs-life-changing-medicine, clear-communication, building-services-market-transhuman-era, heart-protocol-addendum.</t>
  </si>
  <si>
    <t xml:space="preserve">92 posts still need a real, unique hero image</t>
  </si>
  <si>
    <t xml:space="preserve">(down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</si>
  <si>
    <t xml:space="preserve">Blog: per-post OG image if different from hero (many posts can reuse hero as OG)</t>
  </si>
  <si>
    <t xml:space="preserve">Confirmed 2026-10-02: generateMetadata uses seo.ogImage, else the hero, else the default OG image.</t>
  </si>
  <si>
    <t xml:space="preserve">Marketing pages</t>
  </si>
  <si>
    <t xml:space="preserve">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</si>
  <si>
    <t xml:space="preserve">/akbar essay images</t>
  </si>
  <si>
    <t xml:space="preserve">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</si>
  <si>
    <t xml:space="preserve">Rescued page images wired back in (2026-09-29)</t>
  </si>
  <si>
    <t xml:space="preserve">/living-declaration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</si>
  <si>
    <t xml:space="preserve">BrewSoul: coffee/product images (brewsoul-coffees-expanded.ts likely has image refs</t>
  </si>
  <si>
    <t xml:space="preserve">audit), city guide header images, roaster directory photos. Audited 2026-09-09 (status spreadsheet), confirmed 2026-10-02: city guides already have photos; coffees, chains and roasters have no image field in legacy or here (text-only by design); farms got real photos.</t>
  </si>
  <si>
    <t xml:space="preserve">65 page images moved off the Manus storage copy into Sanity (2026-10-02)</t>
  </si>
  <si>
    <t xml:space="preserve">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</si>
  <si>
    <t xml:space="preserve">PRI/Kava: medicine reference images (medicine-images.ts), facility images for /facilitator-index</t>
  </si>
  <si>
    <t xml:space="preserve">2026-10-02: all in Sanity; image counts match live on PRI, Kava, Iboga, Peyote, facilitator pages.</t>
  </si>
  <si>
    <t xml:space="preserve">Manifesto/Attention Theft: any diagram/illustration assets used on the mega-page</t>
  </si>
  <si>
    <t xml:space="preserve">2026-10-02: 6 of live's 7 are in (now in Sanity); the 7th belongs to the Wall of Shame section left out on purpose.</t>
  </si>
  <si>
    <t xml:space="preserve">Assessment result-screen background art (flagged in STATUS.md as a known gap</t>
  </si>
  <si>
    <t xml:space="preserve">18/20 assessments currently have plain black backgrounds; sourcing themed art here also closes that gap)</t>
  </si>
  <si>
    <t xml:space="preserve">Chatbot: FauxTony avatar/icon</t>
  </si>
  <si>
    <t xml:space="preserve">Not needed (2026-10-02): the chatbot phase (Phase 10) was cancelled.</t>
  </si>
  <si>
    <t xml:space="preserve">Audit client/public/ (including alex-azzi/, brewsoul/ subfolders) for any static assets already sitting there unused that should be pulled i…</t>
  </si>
  <si>
    <t xml:space="preserve">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</si>
  <si>
    <t xml:space="preserve">Mobile responsive pass on every ported section</t>
  </si>
  <si>
    <t xml:space="preserve">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</si>
  <si>
    <t xml:space="preserve">Accessibility pass (WCAG AA contrast, 44px touch targets, keyboard nav)</t>
  </si>
  <si>
    <t xml:space="preserve">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</si>
  <si>
    <t xml:space="preserve">No dead-end pages (every page links to 2+ others)</t>
  </si>
  <si>
    <t xml:space="preserve">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</si>
  <si>
    <t xml:space="preserve">Cross-browser check (Safari iOS in particular, per legacy performance notes) 2026-10-06 WebKit pass (Playwright WebKit, iPhone 13 profile, 1…</t>
  </si>
  <si>
    <t xml:space="preserve">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</si>
  <si>
    <t xml:space="preserve">Remove noindex only when sign-off is given</t>
  </si>
  <si>
    <t xml:space="preserve">do not launch indexable by accident (The only noindex is the host-based one for *.netlify.app above, so the real domain is indexable as soon as DNS points at it: sign-off must come before DNS.)</t>
  </si>
  <si>
    <t xml:space="preserve">Final stakeholder sign-off (Tony/Darryl/Kimberly) on the ported site before DNS cutover</t>
  </si>
  <si>
    <t xml:space="preserve">DNS cutover, legacy app decommissioned only after a stable overlap window</t>
  </si>
  <si>
    <t xml:space="preserve">Why it's not done / what's blocking it</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</si>
</sst>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666666"/>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name val="Arial"/>
      <family val="0"/>
      <charset val="1"/>
    </font>
  </fonts>
  <fills count="7">
    <fill>
      <patternFill patternType="none"/>
    </fill>
    <fill>
      <patternFill patternType="gray125"/>
    </fill>
    <fill>
      <patternFill patternType="solid">
        <fgColor rgb="FF1F2937"/>
        <bgColor rgb="FF333300"/>
      </patternFill>
    </fill>
    <fill>
      <patternFill patternType="solid">
        <fgColor rgb="FFD1D5DB"/>
        <bgColor rgb="FFC0C0C0"/>
      </patternFill>
    </fill>
    <fill>
      <patternFill patternType="solid">
        <fgColor rgb="FFD9F2D9"/>
        <bgColor rgb="FFCCFFFF"/>
      </patternFill>
    </fill>
    <fill>
      <patternFill patternType="solid">
        <fgColor rgb="FFFDE2E2"/>
        <bgColor rgb="FFFEF3C7"/>
      </patternFill>
    </fill>
    <fill>
      <patternFill patternType="solid">
        <fgColor rgb="FFFEF3C7"/>
        <bgColor rgb="FFFDE2E2"/>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2937"/>
          <bgColor rgb="FF000000"/>
        </patternFill>
      </fill>
    </dxf>
    <dxf>
      <fill>
        <patternFill patternType="solid">
          <fgColor rgb="FFD1D5DB"/>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9F2D9"/>
          <bgColor rgb="FF000000"/>
        </patternFill>
      </fill>
    </dxf>
    <dxf>
      <fill>
        <patternFill patternType="solid">
          <fgColor rgb="FFFDE2E2"/>
          <bgColor rgb="FF000000"/>
        </patternFill>
      </fill>
    </dxf>
    <dxf>
      <fill>
        <patternFill patternType="solid">
          <fgColor rgb="FFFEF3C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EF3C7"/>
      <rgbColor rgb="FFCCFF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D9F2D9"/>
      <rgbColor rgb="FFFFFF99"/>
      <rgbColor rgb="FF99CCFF"/>
      <rgbColor rgb="FFFF99CC"/>
      <rgbColor rgb="FFCC99FF"/>
      <rgbColor rgb="FFFDE2E2"/>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6" min="2" style="0" width="12"/>
  </cols>
  <sheetData>
    <row r="1" customFormat="false" ht="19.7"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row>
    <row r="5" customFormat="false" ht="15" hidden="false" customHeight="false" outlineLevel="0" collapsed="false">
      <c r="A5" s="4" t="s">
        <v>8</v>
      </c>
      <c r="B5" s="5" t="n">
        <f aca="false">COUNTIFS('Full Detail'!$E$2:$E$318,$A5,'Full Detail'!$C$2:$C$318,"Done")</f>
        <v>12</v>
      </c>
      <c r="C5" s="5" t="n">
        <f aca="false">COUNTIFS('Full Detail'!$E$2:$E$318,$A5,'Full Detail'!$C$2:$C$318,"Remaining")</f>
        <v>0</v>
      </c>
      <c r="D5" s="5" t="n">
        <f aca="false">COUNTIFS('Full Detail'!$E$2:$E$318,$A5,'Full Detail'!$C$2:$C$318,"Deferred")</f>
        <v>0</v>
      </c>
      <c r="E5" s="5" t="n">
        <f aca="false">SUM(B5:D5)</f>
        <v>12</v>
      </c>
      <c r="F5" s="6" t="n">
        <f aca="false">IF(E5=0,0,B5/E5)</f>
        <v>1</v>
      </c>
    </row>
    <row r="6" customFormat="false" ht="15" hidden="false" customHeight="false" outlineLevel="0" collapsed="false">
      <c r="A6" s="4" t="s">
        <v>9</v>
      </c>
      <c r="B6" s="5" t="n">
        <f aca="false">COUNTIFS('Full Detail'!$E$2:$E$318,$A6,'Full Detail'!$C$2:$C$318,"Done")</f>
        <v>16</v>
      </c>
      <c r="C6" s="5" t="n">
        <f aca="false">COUNTIFS('Full Detail'!$E$2:$E$318,$A6,'Full Detail'!$C$2:$C$318,"Remaining")</f>
        <v>0</v>
      </c>
      <c r="D6" s="5" t="n">
        <f aca="false">COUNTIFS('Full Detail'!$E$2:$E$318,$A6,'Full Detail'!$C$2:$C$318,"Deferred")</f>
        <v>0</v>
      </c>
      <c r="E6" s="5" t="n">
        <f aca="false">SUM(B6:D6)</f>
        <v>16</v>
      </c>
      <c r="F6" s="6" t="n">
        <f aca="false">IF(E6=0,0,B6/E6)</f>
        <v>1</v>
      </c>
    </row>
    <row r="7" customFormat="false" ht="15" hidden="false" customHeight="false" outlineLevel="0" collapsed="false">
      <c r="A7" s="4" t="s">
        <v>10</v>
      </c>
      <c r="B7" s="5" t="n">
        <f aca="false">COUNTIFS('Full Detail'!$E$2:$E$318,$A7,'Full Detail'!$C$2:$C$318,"Done")</f>
        <v>8</v>
      </c>
      <c r="C7" s="5" t="n">
        <f aca="false">COUNTIFS('Full Detail'!$E$2:$E$318,$A7,'Full Detail'!$C$2:$C$318,"Remaining")</f>
        <v>2</v>
      </c>
      <c r="D7" s="5" t="n">
        <f aca="false">COUNTIFS('Full Detail'!$E$2:$E$318,$A7,'Full Detail'!$C$2:$C$318,"Deferred")</f>
        <v>0</v>
      </c>
      <c r="E7" s="5" t="n">
        <f aca="false">SUM(B7:D7)</f>
        <v>10</v>
      </c>
      <c r="F7" s="6" t="n">
        <f aca="false">IF(E7=0,0,B7/E7)</f>
        <v>0.8</v>
      </c>
    </row>
    <row r="8" customFormat="false" ht="15" hidden="false" customHeight="false" outlineLevel="0" collapsed="false">
      <c r="A8" s="4" t="s">
        <v>11</v>
      </c>
      <c r="B8" s="5" t="n">
        <f aca="false">COUNTIFS('Full Detail'!$E$2:$E$318,$A8,'Full Detail'!$C$2:$C$318,"Done")</f>
        <v>14</v>
      </c>
      <c r="C8" s="5" t="n">
        <f aca="false">COUNTIFS('Full Detail'!$E$2:$E$318,$A8,'Full Detail'!$C$2:$C$318,"Remaining")</f>
        <v>0</v>
      </c>
      <c r="D8" s="5" t="n">
        <f aca="false">COUNTIFS('Full Detail'!$E$2:$E$318,$A8,'Full Detail'!$C$2:$C$318,"Deferred")</f>
        <v>0</v>
      </c>
      <c r="E8" s="5" t="n">
        <f aca="false">SUM(B8:D8)</f>
        <v>14</v>
      </c>
      <c r="F8" s="6" t="n">
        <f aca="false">IF(E8=0,0,B8/E8)</f>
        <v>1</v>
      </c>
    </row>
    <row r="9" customFormat="false" ht="15" hidden="false" customHeight="false" outlineLevel="0" collapsed="false">
      <c r="A9" s="4" t="s">
        <v>12</v>
      </c>
      <c r="B9" s="5" t="n">
        <f aca="false">COUNTIFS('Full Detail'!$E$2:$E$318,$A9,'Full Detail'!$C$2:$C$318,"Done")</f>
        <v>63</v>
      </c>
      <c r="C9" s="5" t="n">
        <f aca="false">COUNTIFS('Full Detail'!$E$2:$E$318,$A9,'Full Detail'!$C$2:$C$318,"Remaining")</f>
        <v>0</v>
      </c>
      <c r="D9" s="5" t="n">
        <f aca="false">COUNTIFS('Full Detail'!$E$2:$E$318,$A9,'Full Detail'!$C$2:$C$318,"Deferred")</f>
        <v>1</v>
      </c>
      <c r="E9" s="5" t="n">
        <f aca="false">SUM(B9:D9)</f>
        <v>64</v>
      </c>
      <c r="F9" s="6" t="n">
        <f aca="false">IF(E9=0,0,B9/E9)</f>
        <v>0.984375</v>
      </c>
    </row>
    <row r="10" customFormat="false" ht="15" hidden="false" customHeight="false" outlineLevel="0" collapsed="false">
      <c r="A10" s="4" t="s">
        <v>13</v>
      </c>
      <c r="B10" s="5" t="n">
        <f aca="false">COUNTIFS('Full Detail'!$E$2:$E$318,$A10,'Full Detail'!$C$2:$C$318,"Done")</f>
        <v>26</v>
      </c>
      <c r="C10" s="5" t="n">
        <f aca="false">COUNTIFS('Full Detail'!$E$2:$E$318,$A10,'Full Detail'!$C$2:$C$318,"Remaining")</f>
        <v>0</v>
      </c>
      <c r="D10" s="5" t="n">
        <f aca="false">COUNTIFS('Full Detail'!$E$2:$E$318,$A10,'Full Detail'!$C$2:$C$318,"Deferred")</f>
        <v>0</v>
      </c>
      <c r="E10" s="5" t="n">
        <f aca="false">SUM(B10:D10)</f>
        <v>26</v>
      </c>
      <c r="F10" s="6" t="n">
        <f aca="false">IF(E10=0,0,B10/E10)</f>
        <v>1</v>
      </c>
    </row>
    <row r="11" customFormat="false" ht="15" hidden="false" customHeight="false" outlineLevel="0" collapsed="false">
      <c r="A11" s="4" t="s">
        <v>14</v>
      </c>
      <c r="B11" s="5" t="n">
        <f aca="false">COUNTIFS('Full Detail'!$E$2:$E$318,$A11,'Full Detail'!$C$2:$C$318,"Done")</f>
        <v>32</v>
      </c>
      <c r="C11" s="5" t="n">
        <f aca="false">COUNTIFS('Full Detail'!$E$2:$E$318,$A11,'Full Detail'!$C$2:$C$318,"Remaining")</f>
        <v>0</v>
      </c>
      <c r="D11" s="5" t="n">
        <f aca="false">COUNTIFS('Full Detail'!$E$2:$E$318,$A11,'Full Detail'!$C$2:$C$318,"Deferred")</f>
        <v>0</v>
      </c>
      <c r="E11" s="5" t="n">
        <f aca="false">SUM(B11:D11)</f>
        <v>32</v>
      </c>
      <c r="F11" s="6" t="n">
        <f aca="false">IF(E11=0,0,B11/E11)</f>
        <v>1</v>
      </c>
    </row>
    <row r="12" customFormat="false" ht="15" hidden="false" customHeight="false" outlineLevel="0" collapsed="false">
      <c r="A12" s="4" t="s">
        <v>15</v>
      </c>
      <c r="B12" s="5" t="n">
        <f aca="false">COUNTIFS('Full Detail'!$E$2:$E$318,$A12,'Full Detail'!$C$2:$C$318,"Done")</f>
        <v>21</v>
      </c>
      <c r="C12" s="5" t="n">
        <f aca="false">COUNTIFS('Full Detail'!$E$2:$E$318,$A12,'Full Detail'!$C$2:$C$318,"Remaining")</f>
        <v>0</v>
      </c>
      <c r="D12" s="5" t="n">
        <f aca="false">COUNTIFS('Full Detail'!$E$2:$E$318,$A12,'Full Detail'!$C$2:$C$318,"Deferred")</f>
        <v>0</v>
      </c>
      <c r="E12" s="5" t="n">
        <f aca="false">SUM(B12:D12)</f>
        <v>21</v>
      </c>
      <c r="F12" s="6" t="n">
        <f aca="false">IF(E12=0,0,B12/E12)</f>
        <v>1</v>
      </c>
    </row>
    <row r="13" customFormat="false" ht="15" hidden="false" customHeight="false" outlineLevel="0" collapsed="false">
      <c r="A13" s="4" t="s">
        <v>16</v>
      </c>
      <c r="B13" s="5" t="n">
        <f aca="false">COUNTIFS('Full Detail'!$E$2:$E$318,$A13,'Full Detail'!$C$2:$C$318,"Done")</f>
        <v>3</v>
      </c>
      <c r="C13" s="5" t="n">
        <f aca="false">COUNTIFS('Full Detail'!$E$2:$E$318,$A13,'Full Detail'!$C$2:$C$318,"Remaining")</f>
        <v>0</v>
      </c>
      <c r="D13" s="5" t="n">
        <f aca="false">COUNTIFS('Full Detail'!$E$2:$E$318,$A13,'Full Detail'!$C$2:$C$318,"Deferred")</f>
        <v>0</v>
      </c>
      <c r="E13" s="5" t="n">
        <f aca="false">SUM(B13:D13)</f>
        <v>3</v>
      </c>
      <c r="F13" s="6" t="n">
        <f aca="false">IF(E13=0,0,B13/E13)</f>
        <v>1</v>
      </c>
    </row>
    <row r="14" customFormat="false" ht="15" hidden="false" customHeight="false" outlineLevel="0" collapsed="false">
      <c r="A14" s="4" t="s">
        <v>17</v>
      </c>
      <c r="B14" s="5" t="n">
        <f aca="false">COUNTIFS('Full Detail'!$E$2:$E$318,$A14,'Full Detail'!$C$2:$C$318,"Done")</f>
        <v>27</v>
      </c>
      <c r="C14" s="5" t="n">
        <f aca="false">COUNTIFS('Full Detail'!$E$2:$E$318,$A14,'Full Detail'!$C$2:$C$318,"Remaining")</f>
        <v>0</v>
      </c>
      <c r="D14" s="5" t="n">
        <f aca="false">COUNTIFS('Full Detail'!$E$2:$E$318,$A14,'Full Detail'!$C$2:$C$318,"Deferred")</f>
        <v>0</v>
      </c>
      <c r="E14" s="5" t="n">
        <f aca="false">SUM(B14:D14)</f>
        <v>27</v>
      </c>
      <c r="F14" s="6" t="n">
        <f aca="false">IF(E14=0,0,B14/E14)</f>
        <v>1</v>
      </c>
    </row>
    <row r="15" customFormat="false" ht="15" hidden="false" customHeight="false" outlineLevel="0" collapsed="false">
      <c r="A15" s="4" t="s">
        <v>18</v>
      </c>
      <c r="B15" s="5" t="n">
        <f aca="false">COUNTIFS('Full Detail'!$E$2:$E$318,$A15,'Full Detail'!$C$2:$C$318,"Done")</f>
        <v>0</v>
      </c>
      <c r="C15" s="5" t="n">
        <f aca="false">COUNTIFS('Full Detail'!$E$2:$E$318,$A15,'Full Detail'!$C$2:$C$318,"Remaining")</f>
        <v>0</v>
      </c>
      <c r="D15" s="5" t="n">
        <f aca="false">COUNTIFS('Full Detail'!$E$2:$E$318,$A15,'Full Detail'!$C$2:$C$318,"Deferred")</f>
        <v>0</v>
      </c>
      <c r="E15" s="5" t="n">
        <f aca="false">SUM(B15:D15)</f>
        <v>0</v>
      </c>
      <c r="F15" s="6" t="n">
        <f aca="false">IF(E15=0,0,B15/E15)</f>
        <v>0</v>
      </c>
    </row>
    <row r="16" customFormat="false" ht="15" hidden="false" customHeight="false" outlineLevel="0" collapsed="false">
      <c r="A16" s="4" t="s">
        <v>19</v>
      </c>
      <c r="B16" s="5" t="n">
        <f aca="false">COUNTIFS('Full Detail'!$E$2:$E$318,$A16,'Full Detail'!$C$2:$C$318,"Done")</f>
        <v>15</v>
      </c>
      <c r="C16" s="5" t="n">
        <f aca="false">COUNTIFS('Full Detail'!$E$2:$E$318,$A16,'Full Detail'!$C$2:$C$318,"Remaining")</f>
        <v>3</v>
      </c>
      <c r="D16" s="5" t="n">
        <f aca="false">COUNTIFS('Full Detail'!$E$2:$E$318,$A16,'Full Detail'!$C$2:$C$318,"Deferred")</f>
        <v>0</v>
      </c>
      <c r="E16" s="5" t="n">
        <f aca="false">SUM(B16:D16)</f>
        <v>18</v>
      </c>
      <c r="F16" s="6" t="n">
        <f aca="false">IF(E16=0,0,B16/E16)</f>
        <v>0.833333333333333</v>
      </c>
    </row>
    <row r="17" customFormat="false" ht="15" hidden="false" customHeight="false" outlineLevel="0" collapsed="false">
      <c r="A17" s="4" t="s">
        <v>20</v>
      </c>
      <c r="B17" s="5" t="n">
        <f aca="false">COUNTIFS('Full Detail'!$E$2:$E$318,$A17,'Full Detail'!$C$2:$C$318,"Done")</f>
        <v>25</v>
      </c>
      <c r="C17" s="5" t="n">
        <f aca="false">COUNTIFS('Full Detail'!$E$2:$E$318,$A17,'Full Detail'!$C$2:$C$318,"Remaining")</f>
        <v>8</v>
      </c>
      <c r="D17" s="5" t="n">
        <f aca="false">COUNTIFS('Full Detail'!$E$2:$E$318,$A17,'Full Detail'!$C$2:$C$318,"Deferred")</f>
        <v>1</v>
      </c>
      <c r="E17" s="5" t="n">
        <f aca="false">SUM(B17:D17)</f>
        <v>34</v>
      </c>
      <c r="F17" s="6" t="n">
        <f aca="false">IF(E17=0,0,B17/E17)</f>
        <v>0.735294117647059</v>
      </c>
    </row>
    <row r="18" customFormat="false" ht="15" hidden="false" customHeight="false" outlineLevel="0" collapsed="false">
      <c r="A18" s="4" t="s">
        <v>21</v>
      </c>
      <c r="B18" s="5" t="n">
        <f aca="false">COUNTIFS('Full Detail'!$E$2:$E$318,$A18,'Full Detail'!$C$2:$C$318,"Done")</f>
        <v>16</v>
      </c>
      <c r="C18" s="5" t="n">
        <f aca="false">COUNTIFS('Full Detail'!$E$2:$E$318,$A18,'Full Detail'!$C$2:$C$318,"Remaining")</f>
        <v>3</v>
      </c>
      <c r="D18" s="5" t="n">
        <f aca="false">COUNTIFS('Full Detail'!$E$2:$E$318,$A18,'Full Detail'!$C$2:$C$318,"Deferred")</f>
        <v>0</v>
      </c>
      <c r="E18" s="5" t="n">
        <f aca="false">SUM(B18:D18)</f>
        <v>19</v>
      </c>
      <c r="F18" s="6" t="n">
        <f aca="false">IF(E18=0,0,B18/E18)</f>
        <v>0.842105263157895</v>
      </c>
    </row>
    <row r="19" customFormat="false" ht="15" hidden="false" customHeight="false" outlineLevel="0" collapsed="false">
      <c r="A19" s="4" t="s">
        <v>22</v>
      </c>
      <c r="B19" s="5" t="n">
        <f aca="false">COUNTIFS('Full Detail'!$E$2:$E$318,$A19,'Full Detail'!$C$2:$C$318,"Done")</f>
        <v>0</v>
      </c>
      <c r="C19" s="5" t="n">
        <f aca="false">COUNTIFS('Full Detail'!$E$2:$E$318,$A19,'Full Detail'!$C$2:$C$318,"Remaining")</f>
        <v>7</v>
      </c>
      <c r="D19" s="5" t="n">
        <f aca="false">COUNTIFS('Full Detail'!$E$2:$E$318,$A19,'Full Detail'!$C$2:$C$318,"Deferred")</f>
        <v>0</v>
      </c>
      <c r="E19" s="5" t="n">
        <f aca="false">SUM(B19:D19)</f>
        <v>7</v>
      </c>
      <c r="F19" s="6" t="n">
        <f aca="false">IF(E19=0,0,B19/E19)</f>
        <v>0</v>
      </c>
    </row>
    <row r="20" customFormat="false" ht="15" hidden="false" customHeight="false" outlineLevel="0" collapsed="false">
      <c r="A20" s="7" t="s">
        <v>23</v>
      </c>
      <c r="B20" s="8" t="n">
        <f aca="false">SUM(B5:B19)</f>
        <v>278</v>
      </c>
      <c r="C20" s="8" t="n">
        <f aca="false">SUM(C5:C19)</f>
        <v>23</v>
      </c>
      <c r="D20" s="8" t="n">
        <f aca="false">SUM(D5:D19)</f>
        <v>2</v>
      </c>
      <c r="E20" s="8" t="n">
        <f aca="false">SUM(E5:E19)</f>
        <v>303</v>
      </c>
      <c r="F20" s="9" t="n">
        <f aca="false">IF(E20=0,0,B20/E20)</f>
        <v>0.917491749174918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3" min="3" style="0" width="12"/>
    <col collapsed="false" customWidth="true" hidden="false" outlineLevel="0" max="4" min="4" style="0" width="95"/>
    <col collapsed="false" customWidth="true" hidden="true" outlineLevel="0" max="5" min="5" style="0" width="13"/>
  </cols>
  <sheetData>
    <row r="1" customFormat="false" ht="64.9" hidden="false" customHeight="false" outlineLevel="0" collapsed="false">
      <c r="A1" s="3" t="s">
        <v>2</v>
      </c>
      <c r="B1" s="3" t="s">
        <v>24</v>
      </c>
      <c r="C1" s="3" t="s">
        <v>25</v>
      </c>
      <c r="D1" s="3" t="s">
        <v>26</v>
      </c>
      <c r="E1" s="3" t="s">
        <v>27</v>
      </c>
    </row>
    <row r="2" customFormat="false" ht="15" hidden="false" customHeight="true" outlineLevel="0" collapsed="false">
      <c r="A2" s="10" t="s">
        <v>8</v>
      </c>
      <c r="B2" s="10"/>
      <c r="C2" s="10"/>
      <c r="D2" s="10"/>
    </row>
    <row r="3" customFormat="false" ht="23.85" hidden="false" customHeight="false" outlineLevel="0" collapsed="false">
      <c r="A3" s="4"/>
      <c r="B3" s="4" t="s">
        <v>28</v>
      </c>
      <c r="C3" s="11" t="s">
        <v>3</v>
      </c>
      <c r="D3" s="4"/>
      <c r="E3" s="12" t="s">
        <v>8</v>
      </c>
    </row>
    <row r="4" customFormat="false" ht="23.85" hidden="false" customHeight="false" outlineLevel="0" collapsed="false">
      <c r="A4" s="4"/>
      <c r="B4" s="4" t="s">
        <v>29</v>
      </c>
      <c r="C4" s="11" t="s">
        <v>3</v>
      </c>
      <c r="D4" s="4"/>
      <c r="E4" s="12" t="s">
        <v>8</v>
      </c>
    </row>
    <row r="5" customFormat="false" ht="35.05" hidden="false" customHeight="false" outlineLevel="0" collapsed="false">
      <c r="A5" s="4"/>
      <c r="B5" s="4" t="s">
        <v>30</v>
      </c>
      <c r="C5" s="11" t="s">
        <v>3</v>
      </c>
      <c r="D5" s="4" t="s">
        <v>31</v>
      </c>
      <c r="E5" s="12" t="s">
        <v>8</v>
      </c>
    </row>
    <row r="6" customFormat="false" ht="23.85" hidden="false" customHeight="false" outlineLevel="0" collapsed="false">
      <c r="A6" s="4"/>
      <c r="B6" s="4" t="s">
        <v>32</v>
      </c>
      <c r="C6" s="11" t="s">
        <v>3</v>
      </c>
      <c r="D6" s="4"/>
      <c r="E6" s="12" t="s">
        <v>8</v>
      </c>
    </row>
    <row r="7" customFormat="false" ht="23.85" hidden="false" customHeight="false" outlineLevel="0" collapsed="false">
      <c r="A7" s="4"/>
      <c r="B7" s="4" t="s">
        <v>33</v>
      </c>
      <c r="C7" s="11" t="s">
        <v>3</v>
      </c>
      <c r="D7" s="4"/>
      <c r="E7" s="12" t="s">
        <v>8</v>
      </c>
    </row>
    <row r="8" customFormat="false" ht="35.05" hidden="false" customHeight="false" outlineLevel="0" collapsed="false">
      <c r="A8" s="4"/>
      <c r="B8" s="4" t="s">
        <v>34</v>
      </c>
      <c r="C8" s="11" t="s">
        <v>3</v>
      </c>
      <c r="D8" s="4"/>
      <c r="E8" s="12" t="s">
        <v>8</v>
      </c>
    </row>
    <row r="9" customFormat="false" ht="23.85" hidden="false" customHeight="false" outlineLevel="0" collapsed="false">
      <c r="A9" s="4"/>
      <c r="B9" s="4" t="s">
        <v>35</v>
      </c>
      <c r="C9" s="11" t="s">
        <v>3</v>
      </c>
      <c r="D9" s="4"/>
      <c r="E9" s="12" t="s">
        <v>8</v>
      </c>
    </row>
    <row r="10" customFormat="false" ht="35.05" hidden="false" customHeight="false" outlineLevel="0" collapsed="false">
      <c r="A10" s="4"/>
      <c r="B10" s="4" t="s">
        <v>36</v>
      </c>
      <c r="C10" s="11" t="s">
        <v>3</v>
      </c>
      <c r="D10" s="4"/>
      <c r="E10" s="12" t="s">
        <v>8</v>
      </c>
    </row>
    <row r="11" customFormat="false" ht="35.05" hidden="false" customHeight="false" outlineLevel="0" collapsed="false">
      <c r="A11" s="4"/>
      <c r="B11" s="4" t="s">
        <v>37</v>
      </c>
      <c r="C11" s="11" t="s">
        <v>3</v>
      </c>
      <c r="D11" s="4" t="s">
        <v>38</v>
      </c>
      <c r="E11" s="12" t="s">
        <v>8</v>
      </c>
    </row>
    <row r="12" customFormat="false" ht="23.85" hidden="false" customHeight="false" outlineLevel="0" collapsed="false">
      <c r="A12" s="4"/>
      <c r="B12" s="4" t="s">
        <v>39</v>
      </c>
      <c r="C12" s="11" t="s">
        <v>3</v>
      </c>
      <c r="D12" s="4" t="s">
        <v>40</v>
      </c>
      <c r="E12" s="12" t="s">
        <v>8</v>
      </c>
    </row>
    <row r="13" customFormat="false" ht="46.25" hidden="false" customHeight="false" outlineLevel="0" collapsed="false">
      <c r="A13" s="4"/>
      <c r="B13" s="4" t="s">
        <v>41</v>
      </c>
      <c r="C13" s="11" t="s">
        <v>3</v>
      </c>
      <c r="D13" s="4"/>
      <c r="E13" s="12" t="s">
        <v>8</v>
      </c>
    </row>
    <row r="14" customFormat="false" ht="23.85" hidden="false" customHeight="false" outlineLevel="0" collapsed="false">
      <c r="A14" s="4"/>
      <c r="B14" s="4" t="s">
        <v>42</v>
      </c>
      <c r="C14" s="11" t="s">
        <v>3</v>
      </c>
      <c r="D14" s="4" t="s">
        <v>43</v>
      </c>
      <c r="E14" s="12" t="s">
        <v>8</v>
      </c>
    </row>
    <row r="15" customFormat="false" ht="15" hidden="false" customHeight="true" outlineLevel="0" collapsed="false">
      <c r="A15" s="10" t="s">
        <v>9</v>
      </c>
      <c r="B15" s="10"/>
      <c r="C15" s="10"/>
      <c r="D15" s="10"/>
    </row>
    <row r="16" customFormat="false" ht="35.05" hidden="false" customHeight="false" outlineLevel="0" collapsed="false">
      <c r="A16" s="4"/>
      <c r="B16" s="4" t="s">
        <v>44</v>
      </c>
      <c r="C16" s="11" t="s">
        <v>3</v>
      </c>
      <c r="D16" s="4" t="s">
        <v>45</v>
      </c>
      <c r="E16" s="12" t="s">
        <v>9</v>
      </c>
    </row>
    <row r="17" customFormat="false" ht="23.85" hidden="false" customHeight="false" outlineLevel="0" collapsed="false">
      <c r="A17" s="4"/>
      <c r="B17" s="4" t="s">
        <v>46</v>
      </c>
      <c r="C17" s="11" t="s">
        <v>3</v>
      </c>
      <c r="D17" s="4"/>
      <c r="E17" s="12" t="s">
        <v>9</v>
      </c>
    </row>
    <row r="18" customFormat="false" ht="23.85" hidden="false" customHeight="false" outlineLevel="0" collapsed="false">
      <c r="A18" s="4"/>
      <c r="B18" s="4" t="s">
        <v>47</v>
      </c>
      <c r="C18" s="11" t="s">
        <v>3</v>
      </c>
      <c r="D18" s="4" t="s">
        <v>48</v>
      </c>
      <c r="E18" s="12" t="s">
        <v>9</v>
      </c>
    </row>
    <row r="19" customFormat="false" ht="15" hidden="false" customHeight="false" outlineLevel="0" collapsed="false">
      <c r="A19" s="4"/>
      <c r="B19" s="4" t="s">
        <v>47</v>
      </c>
      <c r="C19" s="11" t="s">
        <v>3</v>
      </c>
      <c r="D19" s="4" t="s">
        <v>49</v>
      </c>
      <c r="E19" s="12" t="s">
        <v>9</v>
      </c>
    </row>
    <row r="20" customFormat="false" ht="15" hidden="false" customHeight="false" outlineLevel="0" collapsed="false">
      <c r="A20" s="4"/>
      <c r="B20" s="4" t="s">
        <v>47</v>
      </c>
      <c r="C20" s="11" t="s">
        <v>3</v>
      </c>
      <c r="D20" s="4" t="s">
        <v>50</v>
      </c>
      <c r="E20" s="12" t="s">
        <v>9</v>
      </c>
    </row>
    <row r="21" customFormat="false" ht="15" hidden="false" customHeight="false" outlineLevel="0" collapsed="false">
      <c r="A21" s="4"/>
      <c r="B21" s="4" t="s">
        <v>51</v>
      </c>
      <c r="C21" s="11" t="s">
        <v>3</v>
      </c>
      <c r="D21" s="4" t="s">
        <v>52</v>
      </c>
      <c r="E21" s="12" t="s">
        <v>9</v>
      </c>
    </row>
    <row r="22" customFormat="false" ht="23.85" hidden="false" customHeight="false" outlineLevel="0" collapsed="false">
      <c r="A22" s="4"/>
      <c r="B22" s="4" t="s">
        <v>53</v>
      </c>
      <c r="C22" s="11" t="s">
        <v>3</v>
      </c>
      <c r="D22" s="4" t="s">
        <v>54</v>
      </c>
      <c r="E22" s="12" t="s">
        <v>9</v>
      </c>
    </row>
    <row r="23" customFormat="false" ht="23.85" hidden="false" customHeight="false" outlineLevel="0" collapsed="false">
      <c r="A23" s="4"/>
      <c r="B23" s="4" t="s">
        <v>55</v>
      </c>
      <c r="C23" s="11" t="s">
        <v>3</v>
      </c>
      <c r="D23" s="4" t="s">
        <v>56</v>
      </c>
      <c r="E23" s="12" t="s">
        <v>9</v>
      </c>
    </row>
    <row r="24" customFormat="false" ht="15" hidden="false" customHeight="false" outlineLevel="0" collapsed="false">
      <c r="A24" s="4"/>
      <c r="B24" s="4" t="s">
        <v>47</v>
      </c>
      <c r="C24" s="11" t="s">
        <v>3</v>
      </c>
      <c r="D24" s="4" t="s">
        <v>57</v>
      </c>
      <c r="E24" s="12" t="s">
        <v>9</v>
      </c>
    </row>
    <row r="25" customFormat="false" ht="15" hidden="false" customHeight="false" outlineLevel="0" collapsed="false">
      <c r="A25" s="4"/>
      <c r="B25" s="4" t="s">
        <v>58</v>
      </c>
      <c r="C25" s="11" t="s">
        <v>3</v>
      </c>
      <c r="D25" s="4" t="s">
        <v>59</v>
      </c>
      <c r="E25" s="12" t="s">
        <v>9</v>
      </c>
    </row>
    <row r="26" customFormat="false" ht="23.85" hidden="false" customHeight="false" outlineLevel="0" collapsed="false">
      <c r="A26" s="4"/>
      <c r="B26" s="4" t="s">
        <v>60</v>
      </c>
      <c r="C26" s="11" t="s">
        <v>3</v>
      </c>
      <c r="D26" s="4" t="s">
        <v>61</v>
      </c>
      <c r="E26" s="12" t="s">
        <v>9</v>
      </c>
    </row>
    <row r="27" customFormat="false" ht="35.05" hidden="false" customHeight="false" outlineLevel="0" collapsed="false">
      <c r="A27" s="4"/>
      <c r="B27" s="4" t="s">
        <v>62</v>
      </c>
      <c r="C27" s="11" t="s">
        <v>3</v>
      </c>
      <c r="D27" s="4"/>
      <c r="E27" s="12" t="s">
        <v>9</v>
      </c>
    </row>
    <row r="28" customFormat="false" ht="23.85" hidden="false" customHeight="false" outlineLevel="0" collapsed="false">
      <c r="A28" s="4"/>
      <c r="B28" s="4" t="s">
        <v>63</v>
      </c>
      <c r="C28" s="11" t="s">
        <v>3</v>
      </c>
      <c r="D28" s="4" t="s">
        <v>64</v>
      </c>
      <c r="E28" s="12" t="s">
        <v>9</v>
      </c>
    </row>
    <row r="29" customFormat="false" ht="46.25" hidden="false" customHeight="false" outlineLevel="0" collapsed="false">
      <c r="A29" s="4"/>
      <c r="B29" s="4" t="s">
        <v>65</v>
      </c>
      <c r="C29" s="11" t="s">
        <v>3</v>
      </c>
      <c r="D29" s="4" t="s">
        <v>66</v>
      </c>
      <c r="E29" s="12" t="s">
        <v>9</v>
      </c>
    </row>
    <row r="30" customFormat="false" ht="91" hidden="false" customHeight="false" outlineLevel="0" collapsed="false">
      <c r="A30" s="4"/>
      <c r="B30" s="4" t="s">
        <v>67</v>
      </c>
      <c r="C30" s="11" t="s">
        <v>3</v>
      </c>
      <c r="D30" s="4" t="s">
        <v>68</v>
      </c>
      <c r="E30" s="12" t="s">
        <v>9</v>
      </c>
    </row>
    <row r="31" customFormat="false" ht="68.65" hidden="false" customHeight="false" outlineLevel="0" collapsed="false">
      <c r="A31" s="4"/>
      <c r="B31" s="4" t="s">
        <v>69</v>
      </c>
      <c r="C31" s="11" t="s">
        <v>3</v>
      </c>
      <c r="D31" s="4" t="s">
        <v>70</v>
      </c>
      <c r="E31" s="12" t="s">
        <v>9</v>
      </c>
    </row>
    <row r="32" customFormat="false" ht="15" hidden="false" customHeight="true" outlineLevel="0" collapsed="false">
      <c r="A32" s="10" t="s">
        <v>10</v>
      </c>
      <c r="B32" s="10"/>
      <c r="C32" s="10"/>
      <c r="D32" s="10"/>
    </row>
    <row r="33" customFormat="false" ht="79.85" hidden="false" customHeight="false" outlineLevel="0" collapsed="false">
      <c r="A33" s="4"/>
      <c r="B33" s="4" t="s">
        <v>71</v>
      </c>
      <c r="C33" s="11" t="s">
        <v>3</v>
      </c>
      <c r="D33" s="4" t="s">
        <v>72</v>
      </c>
      <c r="E33" s="12" t="s">
        <v>10</v>
      </c>
    </row>
    <row r="34" customFormat="false" ht="35.05" hidden="false" customHeight="false" outlineLevel="0" collapsed="false">
      <c r="A34" s="4"/>
      <c r="B34" s="4" t="s">
        <v>73</v>
      </c>
      <c r="C34" s="11" t="s">
        <v>3</v>
      </c>
      <c r="D34" s="4"/>
      <c r="E34" s="12" t="s">
        <v>10</v>
      </c>
    </row>
    <row r="35" customFormat="false" ht="23.85" hidden="false" customHeight="false" outlineLevel="0" collapsed="false">
      <c r="A35" s="4"/>
      <c r="B35" s="4" t="s">
        <v>74</v>
      </c>
      <c r="C35" s="11" t="s">
        <v>3</v>
      </c>
      <c r="D35" s="4" t="s">
        <v>75</v>
      </c>
      <c r="E35" s="12" t="s">
        <v>10</v>
      </c>
    </row>
    <row r="36" customFormat="false" ht="46.25" hidden="false" customHeight="false" outlineLevel="0" collapsed="false">
      <c r="A36" s="4"/>
      <c r="B36" s="4" t="s">
        <v>76</v>
      </c>
      <c r="C36" s="11" t="s">
        <v>3</v>
      </c>
      <c r="D36" s="4" t="s">
        <v>77</v>
      </c>
      <c r="E36" s="12" t="s">
        <v>10</v>
      </c>
    </row>
    <row r="37" customFormat="false" ht="35.05" hidden="false" customHeight="false" outlineLevel="0" collapsed="false">
      <c r="A37" s="4"/>
      <c r="B37" s="4" t="s">
        <v>78</v>
      </c>
      <c r="C37" s="11" t="s">
        <v>3</v>
      </c>
      <c r="D37" s="4" t="s">
        <v>79</v>
      </c>
      <c r="E37" s="12" t="s">
        <v>10</v>
      </c>
    </row>
    <row r="38" customFormat="false" ht="23.85" hidden="false" customHeight="false" outlineLevel="0" collapsed="false">
      <c r="A38" s="4"/>
      <c r="B38" s="4" t="s">
        <v>80</v>
      </c>
      <c r="C38" s="11" t="s">
        <v>3</v>
      </c>
      <c r="D38" s="4" t="s">
        <v>81</v>
      </c>
      <c r="E38" s="12" t="s">
        <v>10</v>
      </c>
    </row>
    <row r="39" customFormat="false" ht="46.25" hidden="false" customHeight="false" outlineLevel="0" collapsed="false">
      <c r="A39" s="4"/>
      <c r="B39" s="4" t="s">
        <v>82</v>
      </c>
      <c r="C39" s="11" t="s">
        <v>3</v>
      </c>
      <c r="D39" s="4" t="s">
        <v>83</v>
      </c>
      <c r="E39" s="12" t="s">
        <v>10</v>
      </c>
    </row>
    <row r="40" customFormat="false" ht="68.65" hidden="false" customHeight="false" outlineLevel="0" collapsed="false">
      <c r="A40" s="4"/>
      <c r="B40" s="4" t="s">
        <v>84</v>
      </c>
      <c r="C40" s="11" t="s">
        <v>3</v>
      </c>
      <c r="D40" s="4" t="s">
        <v>85</v>
      </c>
      <c r="E40" s="12" t="s">
        <v>10</v>
      </c>
    </row>
    <row r="41" customFormat="false" ht="46.25" hidden="false" customHeight="false" outlineLevel="0" collapsed="false">
      <c r="A41" s="4"/>
      <c r="B41" s="4" t="s">
        <v>86</v>
      </c>
      <c r="C41" s="13" t="s">
        <v>4</v>
      </c>
      <c r="D41" s="4" t="s">
        <v>87</v>
      </c>
      <c r="E41" s="12" t="s">
        <v>10</v>
      </c>
    </row>
    <row r="42" customFormat="false" ht="79.85" hidden="false" customHeight="false" outlineLevel="0" collapsed="false">
      <c r="A42" s="4"/>
      <c r="B42" s="4" t="s">
        <v>88</v>
      </c>
      <c r="C42" s="13" t="s">
        <v>4</v>
      </c>
      <c r="D42" s="4" t="s">
        <v>89</v>
      </c>
      <c r="E42" s="12" t="s">
        <v>10</v>
      </c>
    </row>
    <row r="43" customFormat="false" ht="15" hidden="false" customHeight="true" outlineLevel="0" collapsed="false">
      <c r="A43" s="10" t="s">
        <v>11</v>
      </c>
      <c r="B43" s="10"/>
      <c r="C43" s="10"/>
      <c r="D43" s="10"/>
    </row>
    <row r="44" customFormat="false" ht="23.85" hidden="false" customHeight="false" outlineLevel="0" collapsed="false">
      <c r="A44" s="4"/>
      <c r="B44" s="4" t="s">
        <v>90</v>
      </c>
      <c r="C44" s="11" t="s">
        <v>3</v>
      </c>
      <c r="D44" s="4" t="s">
        <v>91</v>
      </c>
      <c r="E44" s="12" t="s">
        <v>11</v>
      </c>
    </row>
    <row r="45" customFormat="false" ht="35.05" hidden="false" customHeight="false" outlineLevel="0" collapsed="false">
      <c r="A45" s="4"/>
      <c r="B45" s="4" t="s">
        <v>92</v>
      </c>
      <c r="C45" s="11" t="s">
        <v>3</v>
      </c>
      <c r="D45" s="4"/>
      <c r="E45" s="12" t="s">
        <v>11</v>
      </c>
    </row>
    <row r="46" customFormat="false" ht="35.05" hidden="false" customHeight="false" outlineLevel="0" collapsed="false">
      <c r="A46" s="4"/>
      <c r="B46" s="4" t="s">
        <v>93</v>
      </c>
      <c r="C46" s="11" t="s">
        <v>3</v>
      </c>
      <c r="D46" s="4" t="s">
        <v>94</v>
      </c>
      <c r="E46" s="12" t="s">
        <v>11</v>
      </c>
    </row>
    <row r="47" customFormat="false" ht="46.25" hidden="false" customHeight="false" outlineLevel="0" collapsed="false">
      <c r="A47" s="4"/>
      <c r="B47" s="4" t="s">
        <v>95</v>
      </c>
      <c r="C47" s="11" t="s">
        <v>3</v>
      </c>
      <c r="D47" s="4" t="s">
        <v>96</v>
      </c>
      <c r="E47" s="12" t="s">
        <v>11</v>
      </c>
    </row>
    <row r="48" customFormat="false" ht="23.85" hidden="false" customHeight="false" outlineLevel="0" collapsed="false">
      <c r="A48" s="4"/>
      <c r="B48" s="4" t="s">
        <v>97</v>
      </c>
      <c r="C48" s="11" t="s">
        <v>3</v>
      </c>
      <c r="D48" s="4"/>
      <c r="E48" s="12" t="s">
        <v>11</v>
      </c>
    </row>
    <row r="49" customFormat="false" ht="35.05" hidden="false" customHeight="false" outlineLevel="0" collapsed="false">
      <c r="A49" s="4"/>
      <c r="B49" s="4" t="s">
        <v>98</v>
      </c>
      <c r="C49" s="11" t="s">
        <v>3</v>
      </c>
      <c r="D49" s="4" t="s">
        <v>99</v>
      </c>
      <c r="E49" s="12" t="s">
        <v>11</v>
      </c>
    </row>
    <row r="50" customFormat="false" ht="35.05" hidden="false" customHeight="false" outlineLevel="0" collapsed="false">
      <c r="A50" s="4"/>
      <c r="B50" s="4" t="s">
        <v>100</v>
      </c>
      <c r="C50" s="11" t="s">
        <v>3</v>
      </c>
      <c r="D50" s="4" t="s">
        <v>101</v>
      </c>
      <c r="E50" s="12" t="s">
        <v>11</v>
      </c>
    </row>
    <row r="51" customFormat="false" ht="23.85" hidden="false" customHeight="false" outlineLevel="0" collapsed="false">
      <c r="A51" s="4"/>
      <c r="B51" s="4" t="s">
        <v>102</v>
      </c>
      <c r="C51" s="11" t="s">
        <v>3</v>
      </c>
      <c r="D51" s="4" t="s">
        <v>103</v>
      </c>
      <c r="E51" s="12" t="s">
        <v>11</v>
      </c>
    </row>
    <row r="52" customFormat="false" ht="35.05" hidden="false" customHeight="false" outlineLevel="0" collapsed="false">
      <c r="A52" s="4"/>
      <c r="B52" s="4" t="s">
        <v>104</v>
      </c>
      <c r="C52" s="11" t="s">
        <v>3</v>
      </c>
      <c r="D52" s="4" t="s">
        <v>105</v>
      </c>
      <c r="E52" s="12" t="s">
        <v>11</v>
      </c>
    </row>
    <row r="53" customFormat="false" ht="35.05" hidden="false" customHeight="false" outlineLevel="0" collapsed="false">
      <c r="A53" s="4"/>
      <c r="B53" s="4" t="s">
        <v>106</v>
      </c>
      <c r="C53" s="11" t="s">
        <v>3</v>
      </c>
      <c r="D53" s="4"/>
      <c r="E53" s="12" t="s">
        <v>11</v>
      </c>
    </row>
    <row r="54" customFormat="false" ht="15" hidden="false" customHeight="false" outlineLevel="0" collapsed="false">
      <c r="A54" s="4"/>
      <c r="B54" s="4" t="s">
        <v>107</v>
      </c>
      <c r="C54" s="11" t="s">
        <v>3</v>
      </c>
      <c r="D54" s="4"/>
      <c r="E54" s="12" t="s">
        <v>11</v>
      </c>
    </row>
    <row r="55" customFormat="false" ht="23.85" hidden="false" customHeight="false" outlineLevel="0" collapsed="false">
      <c r="A55" s="4"/>
      <c r="B55" s="4" t="s">
        <v>108</v>
      </c>
      <c r="C55" s="11" t="s">
        <v>3</v>
      </c>
      <c r="D55" s="4" t="s">
        <v>109</v>
      </c>
      <c r="E55" s="12" t="s">
        <v>11</v>
      </c>
    </row>
    <row r="56" customFormat="false" ht="23.85" hidden="false" customHeight="false" outlineLevel="0" collapsed="false">
      <c r="A56" s="4"/>
      <c r="B56" s="4" t="s">
        <v>110</v>
      </c>
      <c r="C56" s="11" t="s">
        <v>3</v>
      </c>
      <c r="D56" s="4" t="s">
        <v>111</v>
      </c>
      <c r="E56" s="12" t="s">
        <v>11</v>
      </c>
    </row>
    <row r="57" customFormat="false" ht="102.2" hidden="false" customHeight="false" outlineLevel="0" collapsed="false">
      <c r="A57" s="4"/>
      <c r="B57" s="4" t="s">
        <v>112</v>
      </c>
      <c r="C57" s="11" t="s">
        <v>3</v>
      </c>
      <c r="D57" s="4" t="s">
        <v>113</v>
      </c>
      <c r="E57" s="12" t="s">
        <v>11</v>
      </c>
    </row>
    <row r="58" customFormat="false" ht="15" hidden="false" customHeight="true" outlineLevel="0" collapsed="false">
      <c r="A58" s="10" t="s">
        <v>12</v>
      </c>
      <c r="B58" s="10"/>
      <c r="C58" s="10"/>
      <c r="D58" s="10"/>
    </row>
    <row r="59" customFormat="false" ht="147" hidden="false" customHeight="false" outlineLevel="0" collapsed="false">
      <c r="A59" s="4"/>
      <c r="B59" s="4" t="s">
        <v>114</v>
      </c>
      <c r="C59" s="11" t="s">
        <v>3</v>
      </c>
      <c r="D59" s="4" t="s">
        <v>115</v>
      </c>
      <c r="E59" s="12" t="s">
        <v>12</v>
      </c>
    </row>
    <row r="60" customFormat="false" ht="113.4" hidden="false" customHeight="false" outlineLevel="0" collapsed="false">
      <c r="A60" s="4"/>
      <c r="B60" s="4" t="s">
        <v>116</v>
      </c>
      <c r="C60" s="11" t="s">
        <v>3</v>
      </c>
      <c r="D60" s="4" t="s">
        <v>117</v>
      </c>
      <c r="E60" s="12" t="s">
        <v>12</v>
      </c>
    </row>
    <row r="61" customFormat="false" ht="68.65" hidden="false" customHeight="false" outlineLevel="0" collapsed="false">
      <c r="A61" s="4"/>
      <c r="B61" s="4" t="s">
        <v>118</v>
      </c>
      <c r="C61" s="11" t="s">
        <v>3</v>
      </c>
      <c r="D61" s="4" t="s">
        <v>119</v>
      </c>
      <c r="E61" s="12" t="s">
        <v>12</v>
      </c>
    </row>
    <row r="62" customFormat="false" ht="23.85" hidden="false" customHeight="false" outlineLevel="0" collapsed="false">
      <c r="A62" s="4"/>
      <c r="B62" s="4" t="s">
        <v>120</v>
      </c>
      <c r="C62" s="11" t="s">
        <v>3</v>
      </c>
      <c r="D62" s="4" t="s">
        <v>121</v>
      </c>
      <c r="E62" s="12" t="s">
        <v>12</v>
      </c>
    </row>
    <row r="63" customFormat="false" ht="23.85" hidden="false" customHeight="false" outlineLevel="0" collapsed="false">
      <c r="A63" s="4"/>
      <c r="B63" s="4" t="s">
        <v>122</v>
      </c>
      <c r="C63" s="11" t="s">
        <v>3</v>
      </c>
      <c r="D63" s="4" t="s">
        <v>123</v>
      </c>
      <c r="E63" s="12" t="s">
        <v>12</v>
      </c>
    </row>
    <row r="64" customFormat="false" ht="23.85" hidden="false" customHeight="false" outlineLevel="0" collapsed="false">
      <c r="A64" s="4"/>
      <c r="B64" s="4" t="s">
        <v>124</v>
      </c>
      <c r="C64" s="11" t="s">
        <v>3</v>
      </c>
      <c r="D64" s="4" t="s">
        <v>125</v>
      </c>
      <c r="E64" s="12" t="s">
        <v>12</v>
      </c>
    </row>
    <row r="65" customFormat="false" ht="35.05" hidden="false" customHeight="false" outlineLevel="0" collapsed="false">
      <c r="A65" s="4"/>
      <c r="B65" s="4" t="s">
        <v>126</v>
      </c>
      <c r="C65" s="11" t="s">
        <v>3</v>
      </c>
      <c r="D65" s="4" t="s">
        <v>127</v>
      </c>
      <c r="E65" s="12" t="s">
        <v>12</v>
      </c>
    </row>
    <row r="66" customFormat="false" ht="23.85" hidden="false" customHeight="false" outlineLevel="0" collapsed="false">
      <c r="A66" s="4"/>
      <c r="B66" s="4" t="s">
        <v>128</v>
      </c>
      <c r="C66" s="11" t="s">
        <v>3</v>
      </c>
      <c r="D66" s="4" t="s">
        <v>129</v>
      </c>
      <c r="E66" s="12" t="s">
        <v>12</v>
      </c>
    </row>
    <row r="67" customFormat="false" ht="23.85" hidden="false" customHeight="false" outlineLevel="0" collapsed="false">
      <c r="A67" s="4"/>
      <c r="B67" s="4" t="s">
        <v>130</v>
      </c>
      <c r="C67" s="11" t="s">
        <v>3</v>
      </c>
      <c r="D67" s="4" t="s">
        <v>131</v>
      </c>
      <c r="E67" s="12" t="s">
        <v>12</v>
      </c>
    </row>
    <row r="68" customFormat="false" ht="23.85" hidden="false" customHeight="false" outlineLevel="0" collapsed="false">
      <c r="A68" s="4"/>
      <c r="B68" s="4" t="s">
        <v>132</v>
      </c>
      <c r="C68" s="11" t="s">
        <v>3</v>
      </c>
      <c r="D68" s="4" t="s">
        <v>133</v>
      </c>
      <c r="E68" s="12" t="s">
        <v>12</v>
      </c>
    </row>
    <row r="69" customFormat="false" ht="91" hidden="false" customHeight="false" outlineLevel="0" collapsed="false">
      <c r="A69" s="4"/>
      <c r="B69" s="4" t="s">
        <v>134</v>
      </c>
      <c r="C69" s="11" t="s">
        <v>3</v>
      </c>
      <c r="D69" s="4" t="s">
        <v>135</v>
      </c>
      <c r="E69" s="12" t="s">
        <v>12</v>
      </c>
    </row>
    <row r="70" customFormat="false" ht="79.85" hidden="false" customHeight="false" outlineLevel="0" collapsed="false">
      <c r="A70" s="4"/>
      <c r="B70" s="4" t="s">
        <v>136</v>
      </c>
      <c r="C70" s="11" t="s">
        <v>3</v>
      </c>
      <c r="D70" s="4" t="s">
        <v>137</v>
      </c>
      <c r="E70" s="12" t="s">
        <v>12</v>
      </c>
    </row>
    <row r="71" customFormat="false" ht="46.25" hidden="false" customHeight="false" outlineLevel="0" collapsed="false">
      <c r="A71" s="4"/>
      <c r="B71" s="4" t="s">
        <v>138</v>
      </c>
      <c r="C71" s="11" t="s">
        <v>3</v>
      </c>
      <c r="D71" s="4" t="s">
        <v>139</v>
      </c>
      <c r="E71" s="12" t="s">
        <v>12</v>
      </c>
    </row>
    <row r="72" customFormat="false" ht="68.65" hidden="false" customHeight="false" outlineLevel="0" collapsed="false">
      <c r="A72" s="4"/>
      <c r="B72" s="4" t="s">
        <v>140</v>
      </c>
      <c r="C72" s="11" t="s">
        <v>3</v>
      </c>
      <c r="D72" s="4" t="s">
        <v>141</v>
      </c>
      <c r="E72" s="12" t="s">
        <v>12</v>
      </c>
    </row>
    <row r="73" customFormat="false" ht="15" hidden="false" customHeight="false" outlineLevel="0" collapsed="false">
      <c r="A73" s="4"/>
      <c r="B73" s="4" t="s">
        <v>142</v>
      </c>
      <c r="C73" s="11" t="s">
        <v>3</v>
      </c>
      <c r="D73" s="4" t="s">
        <v>143</v>
      </c>
      <c r="E73" s="12" t="s">
        <v>12</v>
      </c>
    </row>
    <row r="74" customFormat="false" ht="23.85" hidden="false" customHeight="false" outlineLevel="0" collapsed="false">
      <c r="A74" s="4"/>
      <c r="B74" s="4" t="s">
        <v>144</v>
      </c>
      <c r="C74" s="11" t="s">
        <v>3</v>
      </c>
      <c r="D74" s="4" t="s">
        <v>145</v>
      </c>
      <c r="E74" s="12" t="s">
        <v>12</v>
      </c>
    </row>
    <row r="75" customFormat="false" ht="46.25" hidden="false" customHeight="false" outlineLevel="0" collapsed="false">
      <c r="A75" s="4"/>
      <c r="B75" s="4" t="s">
        <v>146</v>
      </c>
      <c r="C75" s="11" t="s">
        <v>3</v>
      </c>
      <c r="D75" s="4" t="s">
        <v>147</v>
      </c>
      <c r="E75" s="12" t="s">
        <v>12</v>
      </c>
    </row>
    <row r="76" customFormat="false" ht="102.2" hidden="false" customHeight="false" outlineLevel="0" collapsed="false">
      <c r="A76" s="4"/>
      <c r="B76" s="4" t="s">
        <v>148</v>
      </c>
      <c r="C76" s="11" t="s">
        <v>3</v>
      </c>
      <c r="D76" s="4" t="s">
        <v>149</v>
      </c>
      <c r="E76" s="12" t="s">
        <v>12</v>
      </c>
    </row>
    <row r="77" customFormat="false" ht="57.45" hidden="false" customHeight="false" outlineLevel="0" collapsed="false">
      <c r="A77" s="4"/>
      <c r="B77" s="4" t="s">
        <v>150</v>
      </c>
      <c r="C77" s="11" t="s">
        <v>3</v>
      </c>
      <c r="D77" s="4" t="s">
        <v>151</v>
      </c>
      <c r="E77" s="12" t="s">
        <v>12</v>
      </c>
    </row>
    <row r="78" customFormat="false" ht="79.85" hidden="false" customHeight="false" outlineLevel="0" collapsed="false">
      <c r="A78" s="4"/>
      <c r="B78" s="4" t="s">
        <v>152</v>
      </c>
      <c r="C78" s="11" t="s">
        <v>3</v>
      </c>
      <c r="D78" s="4" t="s">
        <v>153</v>
      </c>
      <c r="E78" s="12" t="s">
        <v>12</v>
      </c>
    </row>
    <row r="79" customFormat="false" ht="91" hidden="false" customHeight="false" outlineLevel="0" collapsed="false">
      <c r="A79" s="4"/>
      <c r="B79" s="4" t="s">
        <v>154</v>
      </c>
      <c r="C79" s="11" t="s">
        <v>3</v>
      </c>
      <c r="D79" s="4" t="s">
        <v>155</v>
      </c>
      <c r="E79" s="12" t="s">
        <v>12</v>
      </c>
    </row>
    <row r="80" customFormat="false" ht="79.85" hidden="false" customHeight="false" outlineLevel="0" collapsed="false">
      <c r="A80" s="4"/>
      <c r="B80" s="4" t="s">
        <v>156</v>
      </c>
      <c r="C80" s="11" t="s">
        <v>3</v>
      </c>
      <c r="D80" s="4" t="s">
        <v>157</v>
      </c>
      <c r="E80" s="12" t="s">
        <v>12</v>
      </c>
    </row>
    <row r="81" customFormat="false" ht="57.45" hidden="false" customHeight="false" outlineLevel="0" collapsed="false">
      <c r="A81" s="4"/>
      <c r="B81" s="4" t="s">
        <v>158</v>
      </c>
      <c r="C81" s="11" t="s">
        <v>3</v>
      </c>
      <c r="D81" s="4" t="s">
        <v>159</v>
      </c>
      <c r="E81" s="12" t="s">
        <v>12</v>
      </c>
    </row>
    <row r="82" customFormat="false" ht="79.85" hidden="false" customHeight="false" outlineLevel="0" collapsed="false">
      <c r="A82" s="4"/>
      <c r="B82" s="4" t="s">
        <v>160</v>
      </c>
      <c r="C82" s="11" t="s">
        <v>3</v>
      </c>
      <c r="D82" s="4" t="s">
        <v>161</v>
      </c>
      <c r="E82" s="12" t="s">
        <v>12</v>
      </c>
    </row>
    <row r="83" customFormat="false" ht="35.05" hidden="false" customHeight="false" outlineLevel="0" collapsed="false">
      <c r="A83" s="4"/>
      <c r="B83" s="4" t="s">
        <v>162</v>
      </c>
      <c r="C83" s="11" t="s">
        <v>3</v>
      </c>
      <c r="D83" s="4" t="s">
        <v>163</v>
      </c>
      <c r="E83" s="12" t="s">
        <v>12</v>
      </c>
    </row>
    <row r="84" customFormat="false" ht="46.25" hidden="false" customHeight="false" outlineLevel="0" collapsed="false">
      <c r="A84" s="4"/>
      <c r="B84" s="4" t="s">
        <v>164</v>
      </c>
      <c r="C84" s="11" t="s">
        <v>3</v>
      </c>
      <c r="D84" s="4" t="s">
        <v>165</v>
      </c>
      <c r="E84" s="12" t="s">
        <v>12</v>
      </c>
    </row>
    <row r="85" customFormat="false" ht="68.65" hidden="false" customHeight="false" outlineLevel="0" collapsed="false">
      <c r="A85" s="4"/>
      <c r="B85" s="4" t="s">
        <v>166</v>
      </c>
      <c r="C85" s="11" t="s">
        <v>3</v>
      </c>
      <c r="D85" s="4" t="s">
        <v>167</v>
      </c>
      <c r="E85" s="12" t="s">
        <v>12</v>
      </c>
    </row>
    <row r="86" customFormat="false" ht="46.25" hidden="false" customHeight="false" outlineLevel="0" collapsed="false">
      <c r="A86" s="4"/>
      <c r="B86" s="4" t="s">
        <v>168</v>
      </c>
      <c r="C86" s="11" t="s">
        <v>3</v>
      </c>
      <c r="D86" s="4" t="s">
        <v>169</v>
      </c>
      <c r="E86" s="12" t="s">
        <v>12</v>
      </c>
    </row>
    <row r="87" customFormat="false" ht="79.85" hidden="false" customHeight="false" outlineLevel="0" collapsed="false">
      <c r="A87" s="4"/>
      <c r="B87" s="4" t="s">
        <v>170</v>
      </c>
      <c r="C87" s="11" t="s">
        <v>3</v>
      </c>
      <c r="D87" s="4" t="s">
        <v>171</v>
      </c>
      <c r="E87" s="12" t="s">
        <v>12</v>
      </c>
    </row>
    <row r="88" customFormat="false" ht="147" hidden="false" customHeight="false" outlineLevel="0" collapsed="false">
      <c r="A88" s="4"/>
      <c r="B88" s="4" t="s">
        <v>172</v>
      </c>
      <c r="C88" s="11" t="s">
        <v>3</v>
      </c>
      <c r="D88" s="4" t="s">
        <v>173</v>
      </c>
      <c r="E88" s="12" t="s">
        <v>12</v>
      </c>
    </row>
    <row r="89" customFormat="false" ht="91" hidden="false" customHeight="false" outlineLevel="0" collapsed="false">
      <c r="A89" s="4"/>
      <c r="B89" s="4" t="s">
        <v>174</v>
      </c>
      <c r="C89" s="11" t="s">
        <v>3</v>
      </c>
      <c r="D89" s="4" t="s">
        <v>175</v>
      </c>
      <c r="E89" s="12" t="s">
        <v>12</v>
      </c>
    </row>
    <row r="90" customFormat="false" ht="158.2" hidden="false" customHeight="false" outlineLevel="0" collapsed="false">
      <c r="A90" s="4"/>
      <c r="B90" s="4" t="s">
        <v>176</v>
      </c>
      <c r="C90" s="11" t="s">
        <v>3</v>
      </c>
      <c r="D90" s="4" t="s">
        <v>177</v>
      </c>
      <c r="E90" s="12" t="s">
        <v>12</v>
      </c>
    </row>
    <row r="91" customFormat="false" ht="57.45" hidden="false" customHeight="false" outlineLevel="0" collapsed="false">
      <c r="A91" s="4"/>
      <c r="B91" s="4" t="s">
        <v>69</v>
      </c>
      <c r="C91" s="11" t="s">
        <v>3</v>
      </c>
      <c r="D91" s="4" t="s">
        <v>178</v>
      </c>
      <c r="E91" s="12" t="s">
        <v>12</v>
      </c>
    </row>
    <row r="92" customFormat="false" ht="57.45" hidden="false" customHeight="false" outlineLevel="0" collapsed="false">
      <c r="A92" s="4"/>
      <c r="B92" s="4" t="s">
        <v>179</v>
      </c>
      <c r="C92" s="11" t="s">
        <v>3</v>
      </c>
      <c r="D92" s="4" t="s">
        <v>180</v>
      </c>
      <c r="E92" s="12" t="s">
        <v>12</v>
      </c>
    </row>
    <row r="93" customFormat="false" ht="35.05" hidden="false" customHeight="false" outlineLevel="0" collapsed="false">
      <c r="A93" s="4"/>
      <c r="B93" s="4" t="s">
        <v>181</v>
      </c>
      <c r="C93" s="11" t="s">
        <v>3</v>
      </c>
      <c r="D93" s="4" t="s">
        <v>182</v>
      </c>
      <c r="E93" s="12" t="s">
        <v>12</v>
      </c>
    </row>
    <row r="94" customFormat="false" ht="68.65" hidden="false" customHeight="false" outlineLevel="0" collapsed="false">
      <c r="A94" s="4"/>
      <c r="B94" s="4" t="s">
        <v>183</v>
      </c>
      <c r="C94" s="11" t="s">
        <v>3</v>
      </c>
      <c r="D94" s="4" t="s">
        <v>184</v>
      </c>
      <c r="E94" s="12" t="s">
        <v>12</v>
      </c>
    </row>
    <row r="95" customFormat="false" ht="35.05" hidden="false" customHeight="false" outlineLevel="0" collapsed="false">
      <c r="A95" s="4"/>
      <c r="B95" s="4" t="s">
        <v>185</v>
      </c>
      <c r="C95" s="11" t="s">
        <v>3</v>
      </c>
      <c r="D95" s="4" t="s">
        <v>186</v>
      </c>
      <c r="E95" s="12" t="s">
        <v>12</v>
      </c>
    </row>
    <row r="96" customFormat="false" ht="46.25" hidden="false" customHeight="false" outlineLevel="0" collapsed="false">
      <c r="A96" s="4"/>
      <c r="B96" s="4" t="s">
        <v>187</v>
      </c>
      <c r="C96" s="11" t="s">
        <v>3</v>
      </c>
      <c r="D96" s="4" t="s">
        <v>188</v>
      </c>
      <c r="E96" s="12" t="s">
        <v>12</v>
      </c>
    </row>
    <row r="97" customFormat="false" ht="46.25" hidden="false" customHeight="false" outlineLevel="0" collapsed="false">
      <c r="A97" s="4"/>
      <c r="B97" s="4" t="s">
        <v>189</v>
      </c>
      <c r="C97" s="11" t="s">
        <v>3</v>
      </c>
      <c r="D97" s="4" t="s">
        <v>190</v>
      </c>
      <c r="E97" s="12" t="s">
        <v>12</v>
      </c>
    </row>
    <row r="98" customFormat="false" ht="91" hidden="false" customHeight="false" outlineLevel="0" collapsed="false">
      <c r="A98" s="4"/>
      <c r="B98" s="4" t="s">
        <v>191</v>
      </c>
      <c r="C98" s="11" t="s">
        <v>3</v>
      </c>
      <c r="D98" s="4" t="s">
        <v>192</v>
      </c>
      <c r="E98" s="12" t="s">
        <v>12</v>
      </c>
    </row>
    <row r="99" customFormat="false" ht="102.2" hidden="false" customHeight="false" outlineLevel="0" collapsed="false">
      <c r="A99" s="4"/>
      <c r="B99" s="4" t="s">
        <v>193</v>
      </c>
      <c r="C99" s="11" t="s">
        <v>3</v>
      </c>
      <c r="D99" s="4" t="s">
        <v>194</v>
      </c>
      <c r="E99" s="12" t="s">
        <v>12</v>
      </c>
    </row>
    <row r="100" customFormat="false" ht="102.2" hidden="false" customHeight="false" outlineLevel="0" collapsed="false">
      <c r="A100" s="4"/>
      <c r="B100" s="4" t="s">
        <v>195</v>
      </c>
      <c r="C100" s="11" t="s">
        <v>3</v>
      </c>
      <c r="D100" s="4" t="s">
        <v>196</v>
      </c>
      <c r="E100" s="12" t="s">
        <v>12</v>
      </c>
    </row>
    <row r="101" customFormat="false" ht="124.6" hidden="false" customHeight="false" outlineLevel="0" collapsed="false">
      <c r="A101" s="4"/>
      <c r="B101" s="4" t="s">
        <v>197</v>
      </c>
      <c r="C101" s="11" t="s">
        <v>3</v>
      </c>
      <c r="D101" s="4" t="s">
        <v>198</v>
      </c>
      <c r="E101" s="12" t="s">
        <v>12</v>
      </c>
    </row>
    <row r="102" customFormat="false" ht="102.2" hidden="false" customHeight="false" outlineLevel="0" collapsed="false">
      <c r="A102" s="4"/>
      <c r="B102" s="4" t="s">
        <v>199</v>
      </c>
      <c r="C102" s="11" t="s">
        <v>3</v>
      </c>
      <c r="D102" s="4" t="s">
        <v>200</v>
      </c>
      <c r="E102" s="12" t="s">
        <v>12</v>
      </c>
    </row>
    <row r="103" customFormat="false" ht="102.2" hidden="false" customHeight="false" outlineLevel="0" collapsed="false">
      <c r="A103" s="4"/>
      <c r="B103" s="4" t="s">
        <v>201</v>
      </c>
      <c r="C103" s="11" t="s">
        <v>3</v>
      </c>
      <c r="D103" s="4" t="s">
        <v>202</v>
      </c>
      <c r="E103" s="12" t="s">
        <v>12</v>
      </c>
    </row>
    <row r="104" customFormat="false" ht="135.8" hidden="false" customHeight="false" outlineLevel="0" collapsed="false">
      <c r="A104" s="4"/>
      <c r="B104" s="4" t="s">
        <v>203</v>
      </c>
      <c r="C104" s="11" t="s">
        <v>3</v>
      </c>
      <c r="D104" s="4" t="s">
        <v>204</v>
      </c>
      <c r="E104" s="12" t="s">
        <v>12</v>
      </c>
    </row>
    <row r="105" customFormat="false" ht="91" hidden="false" customHeight="false" outlineLevel="0" collapsed="false">
      <c r="A105" s="4"/>
      <c r="B105" s="4" t="s">
        <v>205</v>
      </c>
      <c r="C105" s="11" t="s">
        <v>3</v>
      </c>
      <c r="D105" s="4" t="s">
        <v>206</v>
      </c>
      <c r="E105" s="12" t="s">
        <v>12</v>
      </c>
    </row>
    <row r="106" customFormat="false" ht="91" hidden="false" customHeight="false" outlineLevel="0" collapsed="false">
      <c r="A106" s="4"/>
      <c r="B106" s="4" t="s">
        <v>207</v>
      </c>
      <c r="C106" s="11" t="s">
        <v>3</v>
      </c>
      <c r="D106" s="4" t="s">
        <v>208</v>
      </c>
      <c r="E106" s="12" t="s">
        <v>12</v>
      </c>
    </row>
    <row r="107" customFormat="false" ht="57.45" hidden="false" customHeight="false" outlineLevel="0" collapsed="false">
      <c r="A107" s="4"/>
      <c r="B107" s="4" t="s">
        <v>209</v>
      </c>
      <c r="C107" s="11" t="s">
        <v>3</v>
      </c>
      <c r="D107" s="4" t="s">
        <v>210</v>
      </c>
      <c r="E107" s="12" t="s">
        <v>12</v>
      </c>
    </row>
    <row r="108" customFormat="false" ht="91" hidden="false" customHeight="false" outlineLevel="0" collapsed="false">
      <c r="A108" s="4"/>
      <c r="B108" s="4" t="s">
        <v>211</v>
      </c>
      <c r="C108" s="11" t="s">
        <v>3</v>
      </c>
      <c r="D108" s="4" t="s">
        <v>212</v>
      </c>
      <c r="E108" s="12" t="s">
        <v>12</v>
      </c>
    </row>
    <row r="109" customFormat="false" ht="68.65" hidden="false" customHeight="false" outlineLevel="0" collapsed="false">
      <c r="A109" s="4"/>
      <c r="B109" s="4" t="s">
        <v>213</v>
      </c>
      <c r="C109" s="11" t="s">
        <v>3</v>
      </c>
      <c r="D109" s="4" t="s">
        <v>214</v>
      </c>
      <c r="E109" s="12" t="s">
        <v>12</v>
      </c>
    </row>
    <row r="110" customFormat="false" ht="68.65" hidden="false" customHeight="false" outlineLevel="0" collapsed="false">
      <c r="A110" s="4"/>
      <c r="B110" s="4" t="s">
        <v>215</v>
      </c>
      <c r="C110" s="11" t="s">
        <v>3</v>
      </c>
      <c r="D110" s="4" t="s">
        <v>216</v>
      </c>
      <c r="E110" s="12" t="s">
        <v>12</v>
      </c>
    </row>
    <row r="111" customFormat="false" ht="46.25" hidden="false" customHeight="false" outlineLevel="0" collapsed="false">
      <c r="A111" s="4"/>
      <c r="B111" s="4" t="s">
        <v>217</v>
      </c>
      <c r="C111" s="11" t="s">
        <v>3</v>
      </c>
      <c r="D111" s="4" t="s">
        <v>218</v>
      </c>
      <c r="E111" s="12" t="s">
        <v>12</v>
      </c>
    </row>
    <row r="112" customFormat="false" ht="124.6" hidden="false" customHeight="false" outlineLevel="0" collapsed="false">
      <c r="A112" s="4"/>
      <c r="B112" s="4" t="s">
        <v>219</v>
      </c>
      <c r="C112" s="11" t="s">
        <v>3</v>
      </c>
      <c r="D112" s="4" t="s">
        <v>220</v>
      </c>
      <c r="E112" s="12" t="s">
        <v>12</v>
      </c>
    </row>
    <row r="113" customFormat="false" ht="135.8" hidden="false" customHeight="false" outlineLevel="0" collapsed="false">
      <c r="A113" s="4"/>
      <c r="B113" s="4" t="s">
        <v>221</v>
      </c>
      <c r="C113" s="11" t="s">
        <v>3</v>
      </c>
      <c r="D113" s="4" t="s">
        <v>222</v>
      </c>
      <c r="E113" s="12" t="s">
        <v>12</v>
      </c>
    </row>
    <row r="114" customFormat="false" ht="68.65" hidden="false" customHeight="false" outlineLevel="0" collapsed="false">
      <c r="A114" s="4"/>
      <c r="B114" s="4" t="s">
        <v>223</v>
      </c>
      <c r="C114" s="11" t="s">
        <v>3</v>
      </c>
      <c r="D114" s="4" t="s">
        <v>224</v>
      </c>
      <c r="E114" s="12" t="s">
        <v>12</v>
      </c>
    </row>
    <row r="115" customFormat="false" ht="102.2" hidden="false" customHeight="false" outlineLevel="0" collapsed="false">
      <c r="A115" s="4"/>
      <c r="B115" s="4" t="s">
        <v>225</v>
      </c>
      <c r="C115" s="11" t="s">
        <v>3</v>
      </c>
      <c r="D115" s="4" t="s">
        <v>226</v>
      </c>
      <c r="E115" s="12" t="s">
        <v>12</v>
      </c>
    </row>
    <row r="116" customFormat="false" ht="57.45" hidden="false" customHeight="false" outlineLevel="0" collapsed="false">
      <c r="A116" s="4"/>
      <c r="B116" s="4" t="s">
        <v>227</v>
      </c>
      <c r="C116" s="11" t="s">
        <v>3</v>
      </c>
      <c r="D116" s="4" t="s">
        <v>228</v>
      </c>
      <c r="E116" s="12" t="s">
        <v>12</v>
      </c>
    </row>
    <row r="117" customFormat="false" ht="102.2" hidden="false" customHeight="false" outlineLevel="0" collapsed="false">
      <c r="A117" s="4"/>
      <c r="B117" s="4" t="s">
        <v>229</v>
      </c>
      <c r="C117" s="11" t="s">
        <v>3</v>
      </c>
      <c r="D117" s="4" t="s">
        <v>230</v>
      </c>
      <c r="E117" s="12" t="s">
        <v>12</v>
      </c>
    </row>
    <row r="118" customFormat="false" ht="35.05" hidden="false" customHeight="false" outlineLevel="0" collapsed="false">
      <c r="A118" s="4"/>
      <c r="B118" s="4" t="s">
        <v>231</v>
      </c>
      <c r="C118" s="11" t="s">
        <v>3</v>
      </c>
      <c r="D118" s="4" t="s">
        <v>232</v>
      </c>
      <c r="E118" s="12" t="s">
        <v>12</v>
      </c>
    </row>
    <row r="119" customFormat="false" ht="23.85" hidden="false" customHeight="false" outlineLevel="0" collapsed="false">
      <c r="A119" s="4"/>
      <c r="B119" s="4" t="s">
        <v>233</v>
      </c>
      <c r="C119" s="14" t="s">
        <v>5</v>
      </c>
      <c r="D119" s="4" t="s">
        <v>234</v>
      </c>
      <c r="E119" s="12" t="s">
        <v>12</v>
      </c>
    </row>
    <row r="120" customFormat="false" ht="46.25" hidden="false" customHeight="false" outlineLevel="0" collapsed="false">
      <c r="A120" s="4"/>
      <c r="B120" s="4" t="s">
        <v>235</v>
      </c>
      <c r="C120" s="11" t="s">
        <v>3</v>
      </c>
      <c r="D120" s="4" t="s">
        <v>236</v>
      </c>
      <c r="E120" s="12" t="s">
        <v>12</v>
      </c>
    </row>
    <row r="121" customFormat="false" ht="68.65" hidden="false" customHeight="false" outlineLevel="0" collapsed="false">
      <c r="A121" s="4"/>
      <c r="B121" s="4" t="s">
        <v>237</v>
      </c>
      <c r="C121" s="11" t="s">
        <v>3</v>
      </c>
      <c r="D121" s="4" t="s">
        <v>238</v>
      </c>
      <c r="E121" s="12" t="s">
        <v>12</v>
      </c>
    </row>
    <row r="122" customFormat="false" ht="57.45" hidden="false" customHeight="false" outlineLevel="0" collapsed="false">
      <c r="A122" s="4"/>
      <c r="B122" s="4" t="s">
        <v>239</v>
      </c>
      <c r="C122" s="11" t="s">
        <v>3</v>
      </c>
      <c r="D122" s="4" t="s">
        <v>240</v>
      </c>
      <c r="E122" s="12" t="s">
        <v>12</v>
      </c>
    </row>
    <row r="123" customFormat="false" ht="15" hidden="false" customHeight="true" outlineLevel="0" collapsed="false">
      <c r="A123" s="10" t="s">
        <v>13</v>
      </c>
      <c r="B123" s="10"/>
      <c r="C123" s="10"/>
      <c r="D123" s="10"/>
    </row>
    <row r="124" customFormat="false" ht="23.85" hidden="false" customHeight="false" outlineLevel="0" collapsed="false">
      <c r="A124" s="4"/>
      <c r="B124" s="4" t="s">
        <v>241</v>
      </c>
      <c r="C124" s="11" t="s">
        <v>3</v>
      </c>
      <c r="D124" s="4" t="s">
        <v>242</v>
      </c>
      <c r="E124" s="12" t="s">
        <v>13</v>
      </c>
    </row>
    <row r="125" customFormat="false" ht="57.45" hidden="false" customHeight="false" outlineLevel="0" collapsed="false">
      <c r="A125" s="4"/>
      <c r="B125" s="4" t="s">
        <v>243</v>
      </c>
      <c r="C125" s="11" t="s">
        <v>3</v>
      </c>
      <c r="D125" s="4" t="s">
        <v>244</v>
      </c>
      <c r="E125" s="12" t="s">
        <v>13</v>
      </c>
    </row>
    <row r="126" customFormat="false" ht="23.85" hidden="false" customHeight="false" outlineLevel="0" collapsed="false">
      <c r="A126" s="4"/>
      <c r="B126" s="4" t="s">
        <v>245</v>
      </c>
      <c r="C126" s="11" t="s">
        <v>3</v>
      </c>
      <c r="D126" s="4" t="s">
        <v>246</v>
      </c>
      <c r="E126" s="12" t="s">
        <v>13</v>
      </c>
    </row>
    <row r="127" customFormat="false" ht="23.85" hidden="false" customHeight="false" outlineLevel="0" collapsed="false">
      <c r="A127" s="4"/>
      <c r="B127" s="4" t="s">
        <v>247</v>
      </c>
      <c r="C127" s="11" t="s">
        <v>3</v>
      </c>
      <c r="D127" s="4"/>
      <c r="E127" s="12" t="s">
        <v>13</v>
      </c>
    </row>
    <row r="128" customFormat="false" ht="23.85" hidden="false" customHeight="false" outlineLevel="0" collapsed="false">
      <c r="A128" s="4"/>
      <c r="B128" s="4" t="s">
        <v>248</v>
      </c>
      <c r="C128" s="11" t="s">
        <v>3</v>
      </c>
      <c r="D128" s="4" t="s">
        <v>249</v>
      </c>
      <c r="E128" s="12" t="s">
        <v>13</v>
      </c>
    </row>
    <row r="129" customFormat="false" ht="91" hidden="false" customHeight="false" outlineLevel="0" collapsed="false">
      <c r="A129" s="4"/>
      <c r="B129" s="4" t="s">
        <v>250</v>
      </c>
      <c r="C129" s="11" t="s">
        <v>3</v>
      </c>
      <c r="D129" s="4" t="s">
        <v>251</v>
      </c>
      <c r="E129" s="12" t="s">
        <v>13</v>
      </c>
    </row>
    <row r="130" customFormat="false" ht="158.2" hidden="false" customHeight="false" outlineLevel="0" collapsed="false">
      <c r="A130" s="4"/>
      <c r="B130" s="4" t="s">
        <v>252</v>
      </c>
      <c r="C130" s="11" t="s">
        <v>3</v>
      </c>
      <c r="D130" s="4" t="s">
        <v>253</v>
      </c>
      <c r="E130" s="12" t="s">
        <v>13</v>
      </c>
    </row>
    <row r="131" customFormat="false" ht="124.6" hidden="false" customHeight="false" outlineLevel="0" collapsed="false">
      <c r="A131" s="4"/>
      <c r="B131" s="4" t="s">
        <v>254</v>
      </c>
      <c r="C131" s="11" t="s">
        <v>3</v>
      </c>
      <c r="D131" s="4" t="s">
        <v>255</v>
      </c>
      <c r="E131" s="12" t="s">
        <v>13</v>
      </c>
    </row>
    <row r="132" customFormat="false" ht="158.2" hidden="false" customHeight="false" outlineLevel="0" collapsed="false">
      <c r="A132" s="4"/>
      <c r="B132" s="4" t="s">
        <v>256</v>
      </c>
      <c r="C132" s="11" t="s">
        <v>3</v>
      </c>
      <c r="D132" s="4" t="s">
        <v>257</v>
      </c>
      <c r="E132" s="12" t="s">
        <v>13</v>
      </c>
    </row>
    <row r="133" customFormat="false" ht="124.6" hidden="false" customHeight="false" outlineLevel="0" collapsed="false">
      <c r="A133" s="4"/>
      <c r="B133" s="4" t="s">
        <v>258</v>
      </c>
      <c r="C133" s="11" t="s">
        <v>3</v>
      </c>
      <c r="D133" s="4" t="s">
        <v>259</v>
      </c>
      <c r="E133" s="12" t="s">
        <v>13</v>
      </c>
    </row>
    <row r="134" customFormat="false" ht="158.2" hidden="false" customHeight="false" outlineLevel="0" collapsed="false">
      <c r="A134" s="4"/>
      <c r="B134" s="4" t="s">
        <v>260</v>
      </c>
      <c r="C134" s="11" t="s">
        <v>3</v>
      </c>
      <c r="D134" s="4" t="s">
        <v>261</v>
      </c>
      <c r="E134" s="12" t="s">
        <v>13</v>
      </c>
    </row>
    <row r="135" customFormat="false" ht="147" hidden="false" customHeight="false" outlineLevel="0" collapsed="false">
      <c r="A135" s="4"/>
      <c r="B135" s="4" t="s">
        <v>262</v>
      </c>
      <c r="C135" s="11" t="s">
        <v>3</v>
      </c>
      <c r="D135" s="4" t="s">
        <v>263</v>
      </c>
      <c r="E135" s="12" t="s">
        <v>13</v>
      </c>
    </row>
    <row r="136" customFormat="false" ht="147" hidden="false" customHeight="false" outlineLevel="0" collapsed="false">
      <c r="A136" s="4"/>
      <c r="B136" s="4" t="s">
        <v>264</v>
      </c>
      <c r="C136" s="11" t="s">
        <v>3</v>
      </c>
      <c r="D136" s="4" t="s">
        <v>265</v>
      </c>
      <c r="E136" s="12" t="s">
        <v>13</v>
      </c>
    </row>
    <row r="137" customFormat="false" ht="79.85" hidden="false" customHeight="false" outlineLevel="0" collapsed="false">
      <c r="A137" s="4"/>
      <c r="B137" s="4" t="s">
        <v>266</v>
      </c>
      <c r="C137" s="11" t="s">
        <v>3</v>
      </c>
      <c r="D137" s="4" t="s">
        <v>267</v>
      </c>
      <c r="E137" s="12" t="s">
        <v>13</v>
      </c>
    </row>
    <row r="138" customFormat="false" ht="35.05" hidden="false" customHeight="false" outlineLevel="0" collapsed="false">
      <c r="A138" s="4"/>
      <c r="B138" s="4" t="s">
        <v>268</v>
      </c>
      <c r="C138" s="11" t="s">
        <v>3</v>
      </c>
      <c r="D138" s="4" t="s">
        <v>269</v>
      </c>
      <c r="E138" s="12" t="s">
        <v>13</v>
      </c>
    </row>
    <row r="139" customFormat="false" ht="91" hidden="false" customHeight="false" outlineLevel="0" collapsed="false">
      <c r="A139" s="4"/>
      <c r="B139" s="4" t="s">
        <v>270</v>
      </c>
      <c r="C139" s="11" t="s">
        <v>3</v>
      </c>
      <c r="D139" s="4" t="s">
        <v>271</v>
      </c>
      <c r="E139" s="12" t="s">
        <v>13</v>
      </c>
    </row>
    <row r="140" customFormat="false" ht="68.65" hidden="false" customHeight="false" outlineLevel="0" collapsed="false">
      <c r="A140" s="4"/>
      <c r="B140" s="4" t="s">
        <v>272</v>
      </c>
      <c r="C140" s="11" t="s">
        <v>3</v>
      </c>
      <c r="D140" s="4" t="s">
        <v>273</v>
      </c>
      <c r="E140" s="12" t="s">
        <v>13</v>
      </c>
    </row>
    <row r="141" customFormat="false" ht="68.65" hidden="false" customHeight="false" outlineLevel="0" collapsed="false">
      <c r="A141" s="4"/>
      <c r="B141" s="4" t="s">
        <v>274</v>
      </c>
      <c r="C141" s="11" t="s">
        <v>3</v>
      </c>
      <c r="D141" s="4" t="s">
        <v>275</v>
      </c>
      <c r="E141" s="12" t="s">
        <v>13</v>
      </c>
    </row>
    <row r="142" customFormat="false" ht="91" hidden="false" customHeight="false" outlineLevel="0" collapsed="false">
      <c r="A142" s="4"/>
      <c r="B142" s="4" t="s">
        <v>276</v>
      </c>
      <c r="C142" s="11" t="s">
        <v>3</v>
      </c>
      <c r="D142" s="4" t="s">
        <v>277</v>
      </c>
      <c r="E142" s="12" t="s">
        <v>13</v>
      </c>
    </row>
    <row r="143" customFormat="false" ht="147" hidden="false" customHeight="false" outlineLevel="0" collapsed="false">
      <c r="A143" s="4"/>
      <c r="B143" s="4" t="s">
        <v>278</v>
      </c>
      <c r="C143" s="11" t="s">
        <v>3</v>
      </c>
      <c r="D143" s="4" t="s">
        <v>279</v>
      </c>
      <c r="E143" s="12" t="s">
        <v>13</v>
      </c>
    </row>
    <row r="144" customFormat="false" ht="46.25" hidden="false" customHeight="false" outlineLevel="0" collapsed="false">
      <c r="A144" s="4"/>
      <c r="B144" s="4" t="s">
        <v>280</v>
      </c>
      <c r="C144" s="11" t="s">
        <v>3</v>
      </c>
      <c r="D144" s="4" t="s">
        <v>281</v>
      </c>
      <c r="E144" s="12" t="s">
        <v>13</v>
      </c>
    </row>
    <row r="145" customFormat="false" ht="46.25" hidden="false" customHeight="false" outlineLevel="0" collapsed="false">
      <c r="A145" s="4"/>
      <c r="B145" s="4" t="s">
        <v>282</v>
      </c>
      <c r="C145" s="11" t="s">
        <v>3</v>
      </c>
      <c r="D145" s="4" t="s">
        <v>283</v>
      </c>
      <c r="E145" s="12" t="s">
        <v>13</v>
      </c>
    </row>
    <row r="146" customFormat="false" ht="35.05" hidden="false" customHeight="false" outlineLevel="0" collapsed="false">
      <c r="A146" s="4"/>
      <c r="B146" s="4" t="s">
        <v>284</v>
      </c>
      <c r="C146" s="11" t="s">
        <v>3</v>
      </c>
      <c r="D146" s="4" t="s">
        <v>285</v>
      </c>
      <c r="E146" s="12" t="s">
        <v>13</v>
      </c>
    </row>
    <row r="147" customFormat="false" ht="23.85" hidden="false" customHeight="false" outlineLevel="0" collapsed="false">
      <c r="A147" s="4"/>
      <c r="B147" s="4" t="s">
        <v>286</v>
      </c>
      <c r="C147" s="11" t="s">
        <v>3</v>
      </c>
      <c r="D147" s="4" t="s">
        <v>287</v>
      </c>
      <c r="E147" s="12" t="s">
        <v>13</v>
      </c>
    </row>
    <row r="148" customFormat="false" ht="46.25" hidden="false" customHeight="false" outlineLevel="0" collapsed="false">
      <c r="A148" s="4"/>
      <c r="B148" s="4" t="s">
        <v>288</v>
      </c>
      <c r="C148" s="11" t="s">
        <v>3</v>
      </c>
      <c r="D148" s="4" t="s">
        <v>289</v>
      </c>
      <c r="E148" s="12" t="s">
        <v>13</v>
      </c>
    </row>
    <row r="149" customFormat="false" ht="46.25" hidden="false" customHeight="false" outlineLevel="0" collapsed="false">
      <c r="A149" s="4"/>
      <c r="B149" s="4" t="s">
        <v>290</v>
      </c>
      <c r="C149" s="11" t="s">
        <v>3</v>
      </c>
      <c r="D149" s="4" t="s">
        <v>291</v>
      </c>
      <c r="E149" s="12" t="s">
        <v>13</v>
      </c>
    </row>
    <row r="150" customFormat="false" ht="15" hidden="false" customHeight="true" outlineLevel="0" collapsed="false">
      <c r="A150" s="10" t="s">
        <v>14</v>
      </c>
      <c r="B150" s="10"/>
      <c r="C150" s="10"/>
      <c r="D150" s="10"/>
    </row>
    <row r="151" customFormat="false" ht="158.2" hidden="false" customHeight="false" outlineLevel="0" collapsed="false">
      <c r="A151" s="4"/>
      <c r="B151" s="4" t="s">
        <v>292</v>
      </c>
      <c r="C151" s="11" t="s">
        <v>3</v>
      </c>
      <c r="D151" s="4" t="s">
        <v>293</v>
      </c>
      <c r="E151" s="12" t="s">
        <v>14</v>
      </c>
    </row>
    <row r="152" customFormat="false" ht="135.8" hidden="false" customHeight="false" outlineLevel="0" collapsed="false">
      <c r="A152" s="4"/>
      <c r="B152" s="4" t="s">
        <v>294</v>
      </c>
      <c r="C152" s="11" t="s">
        <v>3</v>
      </c>
      <c r="D152" s="4" t="s">
        <v>295</v>
      </c>
      <c r="E152" s="12" t="s">
        <v>14</v>
      </c>
    </row>
    <row r="153" customFormat="false" ht="79.85" hidden="false" customHeight="false" outlineLevel="0" collapsed="false">
      <c r="A153" s="4"/>
      <c r="B153" s="4" t="s">
        <v>296</v>
      </c>
      <c r="C153" s="11" t="s">
        <v>3</v>
      </c>
      <c r="D153" s="4" t="s">
        <v>297</v>
      </c>
      <c r="E153" s="12" t="s">
        <v>14</v>
      </c>
    </row>
    <row r="154" customFormat="false" ht="23.85" hidden="false" customHeight="false" outlineLevel="0" collapsed="false">
      <c r="A154" s="4"/>
      <c r="B154" s="4" t="s">
        <v>298</v>
      </c>
      <c r="C154" s="11" t="s">
        <v>3</v>
      </c>
      <c r="D154" s="4" t="s">
        <v>299</v>
      </c>
      <c r="E154" s="12" t="s">
        <v>14</v>
      </c>
    </row>
    <row r="155" customFormat="false" ht="46.25" hidden="false" customHeight="false" outlineLevel="0" collapsed="false">
      <c r="A155" s="4"/>
      <c r="B155" s="4" t="s">
        <v>300</v>
      </c>
      <c r="C155" s="11" t="s">
        <v>3</v>
      </c>
      <c r="D155" s="4" t="s">
        <v>301</v>
      </c>
      <c r="E155" s="12" t="s">
        <v>14</v>
      </c>
    </row>
    <row r="156" customFormat="false" ht="158.2" hidden="false" customHeight="false" outlineLevel="0" collapsed="false">
      <c r="A156" s="4"/>
      <c r="B156" s="4" t="s">
        <v>302</v>
      </c>
      <c r="C156" s="11" t="s">
        <v>3</v>
      </c>
      <c r="D156" s="4" t="s">
        <v>303</v>
      </c>
      <c r="E156" s="12" t="s">
        <v>14</v>
      </c>
    </row>
    <row r="157" customFormat="false" ht="35.05" hidden="false" customHeight="false" outlineLevel="0" collapsed="false">
      <c r="A157" s="4"/>
      <c r="B157" s="4" t="s">
        <v>304</v>
      </c>
      <c r="C157" s="11" t="s">
        <v>3</v>
      </c>
      <c r="D157" s="4" t="s">
        <v>305</v>
      </c>
      <c r="E157" s="12" t="s">
        <v>14</v>
      </c>
    </row>
    <row r="158" customFormat="false" ht="57.45" hidden="false" customHeight="false" outlineLevel="0" collapsed="false">
      <c r="A158" s="4"/>
      <c r="B158" s="4" t="s">
        <v>306</v>
      </c>
      <c r="C158" s="11" t="s">
        <v>3</v>
      </c>
      <c r="D158" s="4" t="s">
        <v>307</v>
      </c>
      <c r="E158" s="12" t="s">
        <v>14</v>
      </c>
    </row>
    <row r="159" customFormat="false" ht="23.85" hidden="false" customHeight="false" outlineLevel="0" collapsed="false">
      <c r="A159" s="4"/>
      <c r="B159" s="4" t="s">
        <v>308</v>
      </c>
      <c r="C159" s="11" t="s">
        <v>3</v>
      </c>
      <c r="D159" s="4" t="s">
        <v>309</v>
      </c>
      <c r="E159" s="12" t="s">
        <v>14</v>
      </c>
    </row>
    <row r="160" customFormat="false" ht="23.85" hidden="false" customHeight="false" outlineLevel="0" collapsed="false">
      <c r="A160" s="4"/>
      <c r="B160" s="4" t="s">
        <v>310</v>
      </c>
      <c r="C160" s="11" t="s">
        <v>3</v>
      </c>
      <c r="D160" s="4" t="s">
        <v>311</v>
      </c>
      <c r="E160" s="12" t="s">
        <v>14</v>
      </c>
    </row>
    <row r="161" customFormat="false" ht="35.05" hidden="false" customHeight="false" outlineLevel="0" collapsed="false">
      <c r="A161" s="4"/>
      <c r="B161" s="4" t="s">
        <v>312</v>
      </c>
      <c r="C161" s="11" t="s">
        <v>3</v>
      </c>
      <c r="D161" s="4" t="s">
        <v>313</v>
      </c>
      <c r="E161" s="12" t="s">
        <v>14</v>
      </c>
    </row>
    <row r="162" customFormat="false" ht="124.6" hidden="false" customHeight="false" outlineLevel="0" collapsed="false">
      <c r="A162" s="4"/>
      <c r="B162" s="4" t="s">
        <v>314</v>
      </c>
      <c r="C162" s="11" t="s">
        <v>3</v>
      </c>
      <c r="D162" s="4" t="s">
        <v>315</v>
      </c>
      <c r="E162" s="12" t="s">
        <v>14</v>
      </c>
    </row>
    <row r="163" customFormat="false" ht="23.85" hidden="false" customHeight="false" outlineLevel="0" collapsed="false">
      <c r="A163" s="4"/>
      <c r="B163" s="4" t="s">
        <v>316</v>
      </c>
      <c r="C163" s="11" t="s">
        <v>3</v>
      </c>
      <c r="D163" s="4" t="s">
        <v>317</v>
      </c>
      <c r="E163" s="12" t="s">
        <v>14</v>
      </c>
    </row>
    <row r="164" customFormat="false" ht="23.85" hidden="false" customHeight="false" outlineLevel="0" collapsed="false">
      <c r="A164" s="4"/>
      <c r="B164" s="4" t="s">
        <v>318</v>
      </c>
      <c r="C164" s="11" t="s">
        <v>3</v>
      </c>
      <c r="D164" s="4" t="s">
        <v>319</v>
      </c>
      <c r="E164" s="12" t="s">
        <v>14</v>
      </c>
    </row>
    <row r="165" customFormat="false" ht="23.85" hidden="false" customHeight="false" outlineLevel="0" collapsed="false">
      <c r="A165" s="4"/>
      <c r="B165" s="4" t="s">
        <v>320</v>
      </c>
      <c r="C165" s="11" t="s">
        <v>3</v>
      </c>
      <c r="D165" s="4" t="s">
        <v>321</v>
      </c>
      <c r="E165" s="12" t="s">
        <v>14</v>
      </c>
    </row>
    <row r="166" customFormat="false" ht="23.85" hidden="false" customHeight="false" outlineLevel="0" collapsed="false">
      <c r="A166" s="4"/>
      <c r="B166" s="4" t="s">
        <v>322</v>
      </c>
      <c r="C166" s="11" t="s">
        <v>3</v>
      </c>
      <c r="D166" s="4" t="s">
        <v>323</v>
      </c>
      <c r="E166" s="12" t="s">
        <v>14</v>
      </c>
    </row>
    <row r="167" customFormat="false" ht="23.85" hidden="false" customHeight="false" outlineLevel="0" collapsed="false">
      <c r="A167" s="4"/>
      <c r="B167" s="4" t="s">
        <v>324</v>
      </c>
      <c r="C167" s="11" t="s">
        <v>3</v>
      </c>
      <c r="D167" s="4" t="s">
        <v>325</v>
      </c>
      <c r="E167" s="12" t="s">
        <v>14</v>
      </c>
    </row>
    <row r="168" customFormat="false" ht="35.05" hidden="false" customHeight="false" outlineLevel="0" collapsed="false">
      <c r="A168" s="4"/>
      <c r="B168" s="4" t="s">
        <v>326</v>
      </c>
      <c r="C168" s="11" t="s">
        <v>3</v>
      </c>
      <c r="D168" s="4" t="s">
        <v>327</v>
      </c>
      <c r="E168" s="12" t="s">
        <v>14</v>
      </c>
    </row>
    <row r="169" customFormat="false" ht="35.05" hidden="false" customHeight="false" outlineLevel="0" collapsed="false">
      <c r="A169" s="4"/>
      <c r="B169" s="4" t="s">
        <v>328</v>
      </c>
      <c r="C169" s="11" t="s">
        <v>3</v>
      </c>
      <c r="D169" s="4" t="s">
        <v>329</v>
      </c>
      <c r="E169" s="12" t="s">
        <v>14</v>
      </c>
    </row>
    <row r="170" customFormat="false" ht="35.05" hidden="false" customHeight="false" outlineLevel="0" collapsed="false">
      <c r="A170" s="4"/>
      <c r="B170" s="4" t="s">
        <v>330</v>
      </c>
      <c r="C170" s="11" t="s">
        <v>3</v>
      </c>
      <c r="D170" s="4" t="s">
        <v>331</v>
      </c>
      <c r="E170" s="12" t="s">
        <v>14</v>
      </c>
    </row>
    <row r="171" customFormat="false" ht="35.05" hidden="false" customHeight="false" outlineLevel="0" collapsed="false">
      <c r="A171" s="4"/>
      <c r="B171" s="4" t="s">
        <v>332</v>
      </c>
      <c r="C171" s="11" t="s">
        <v>3</v>
      </c>
      <c r="D171" s="4" t="s">
        <v>333</v>
      </c>
      <c r="E171" s="12" t="s">
        <v>14</v>
      </c>
    </row>
    <row r="172" customFormat="false" ht="79.85" hidden="false" customHeight="false" outlineLevel="0" collapsed="false">
      <c r="A172" s="4"/>
      <c r="B172" s="4" t="s">
        <v>334</v>
      </c>
      <c r="C172" s="11" t="s">
        <v>3</v>
      </c>
      <c r="D172" s="4" t="s">
        <v>335</v>
      </c>
      <c r="E172" s="12" t="s">
        <v>14</v>
      </c>
    </row>
    <row r="173" customFormat="false" ht="68.65" hidden="false" customHeight="false" outlineLevel="0" collapsed="false">
      <c r="A173" s="4"/>
      <c r="B173" s="4" t="s">
        <v>336</v>
      </c>
      <c r="C173" s="11" t="s">
        <v>3</v>
      </c>
      <c r="D173" s="4" t="s">
        <v>337</v>
      </c>
      <c r="E173" s="12" t="s">
        <v>14</v>
      </c>
    </row>
    <row r="174" customFormat="false" ht="91" hidden="false" customHeight="false" outlineLevel="0" collapsed="false">
      <c r="A174" s="4"/>
      <c r="B174" s="4" t="s">
        <v>338</v>
      </c>
      <c r="C174" s="11" t="s">
        <v>3</v>
      </c>
      <c r="D174" s="4" t="s">
        <v>339</v>
      </c>
      <c r="E174" s="12" t="s">
        <v>14</v>
      </c>
    </row>
    <row r="175" customFormat="false" ht="68.65" hidden="false" customHeight="false" outlineLevel="0" collapsed="false">
      <c r="A175" s="4"/>
      <c r="B175" s="4" t="s">
        <v>340</v>
      </c>
      <c r="C175" s="11" t="s">
        <v>3</v>
      </c>
      <c r="D175" s="4" t="s">
        <v>341</v>
      </c>
      <c r="E175" s="12" t="s">
        <v>14</v>
      </c>
    </row>
    <row r="176" customFormat="false" ht="79.85" hidden="false" customHeight="false" outlineLevel="0" collapsed="false">
      <c r="A176" s="4"/>
      <c r="B176" s="4" t="s">
        <v>342</v>
      </c>
      <c r="C176" s="11" t="s">
        <v>3</v>
      </c>
      <c r="D176" s="4" t="s">
        <v>343</v>
      </c>
      <c r="E176" s="12" t="s">
        <v>14</v>
      </c>
    </row>
    <row r="177" customFormat="false" ht="147" hidden="false" customHeight="false" outlineLevel="0" collapsed="false">
      <c r="A177" s="4"/>
      <c r="B177" s="4" t="s">
        <v>344</v>
      </c>
      <c r="C177" s="11" t="s">
        <v>3</v>
      </c>
      <c r="D177" s="4" t="s">
        <v>345</v>
      </c>
      <c r="E177" s="12" t="s">
        <v>14</v>
      </c>
    </row>
    <row r="178" customFormat="false" ht="79.85" hidden="false" customHeight="false" outlineLevel="0" collapsed="false">
      <c r="A178" s="4"/>
      <c r="B178" s="4" t="s">
        <v>346</v>
      </c>
      <c r="C178" s="11" t="s">
        <v>3</v>
      </c>
      <c r="D178" s="4" t="s">
        <v>347</v>
      </c>
      <c r="E178" s="12" t="s">
        <v>14</v>
      </c>
    </row>
    <row r="179" customFormat="false" ht="158.2" hidden="false" customHeight="false" outlineLevel="0" collapsed="false">
      <c r="A179" s="4"/>
      <c r="B179" s="4" t="s">
        <v>348</v>
      </c>
      <c r="C179" s="11" t="s">
        <v>3</v>
      </c>
      <c r="D179" s="4" t="s">
        <v>349</v>
      </c>
      <c r="E179" s="12" t="s">
        <v>14</v>
      </c>
    </row>
    <row r="180" customFormat="false" ht="68.65" hidden="false" customHeight="false" outlineLevel="0" collapsed="false">
      <c r="A180" s="4"/>
      <c r="B180" s="4" t="s">
        <v>350</v>
      </c>
      <c r="C180" s="11" t="s">
        <v>3</v>
      </c>
      <c r="D180" s="4" t="s">
        <v>351</v>
      </c>
      <c r="E180" s="12" t="s">
        <v>14</v>
      </c>
    </row>
    <row r="181" customFormat="false" ht="102.2" hidden="false" customHeight="false" outlineLevel="0" collapsed="false">
      <c r="A181" s="4"/>
      <c r="B181" s="4" t="s">
        <v>352</v>
      </c>
      <c r="C181" s="11" t="s">
        <v>3</v>
      </c>
      <c r="D181" s="4" t="s">
        <v>353</v>
      </c>
      <c r="E181" s="12" t="s">
        <v>14</v>
      </c>
    </row>
    <row r="182" customFormat="false" ht="35.05" hidden="false" customHeight="false" outlineLevel="0" collapsed="false">
      <c r="A182" s="4"/>
      <c r="B182" s="4" t="s">
        <v>354</v>
      </c>
      <c r="C182" s="11" t="s">
        <v>3</v>
      </c>
      <c r="D182" s="4" t="s">
        <v>355</v>
      </c>
      <c r="E182" s="12" t="s">
        <v>14</v>
      </c>
    </row>
    <row r="183" customFormat="false" ht="15" hidden="false" customHeight="true" outlineLevel="0" collapsed="false">
      <c r="A183" s="10" t="s">
        <v>15</v>
      </c>
      <c r="B183" s="10"/>
      <c r="C183" s="10"/>
      <c r="D183" s="10"/>
    </row>
    <row r="184" customFormat="false" ht="68.65" hidden="false" customHeight="false" outlineLevel="0" collapsed="false">
      <c r="A184" s="4"/>
      <c r="B184" s="4" t="s">
        <v>356</v>
      </c>
      <c r="C184" s="11" t="s">
        <v>3</v>
      </c>
      <c r="D184" s="4" t="s">
        <v>357</v>
      </c>
      <c r="E184" s="12" t="s">
        <v>15</v>
      </c>
    </row>
    <row r="185" customFormat="false" ht="23.85" hidden="false" customHeight="false" outlineLevel="0" collapsed="false">
      <c r="A185" s="4"/>
      <c r="B185" s="4" t="s">
        <v>358</v>
      </c>
      <c r="C185" s="11" t="s">
        <v>3</v>
      </c>
      <c r="D185" s="4" t="s">
        <v>359</v>
      </c>
      <c r="E185" s="12" t="s">
        <v>15</v>
      </c>
    </row>
    <row r="186" customFormat="false" ht="46.25" hidden="false" customHeight="false" outlineLevel="0" collapsed="false">
      <c r="A186" s="4"/>
      <c r="B186" s="4" t="s">
        <v>360</v>
      </c>
      <c r="C186" s="11" t="s">
        <v>3</v>
      </c>
      <c r="D186" s="4" t="s">
        <v>361</v>
      </c>
      <c r="E186" s="12" t="s">
        <v>15</v>
      </c>
    </row>
    <row r="187" customFormat="false" ht="68.65" hidden="false" customHeight="false" outlineLevel="0" collapsed="false">
      <c r="A187" s="4"/>
      <c r="B187" s="4" t="s">
        <v>362</v>
      </c>
      <c r="C187" s="11" t="s">
        <v>3</v>
      </c>
      <c r="D187" s="4" t="s">
        <v>363</v>
      </c>
      <c r="E187" s="12" t="s">
        <v>15</v>
      </c>
    </row>
    <row r="188" customFormat="false" ht="79.85" hidden="false" customHeight="false" outlineLevel="0" collapsed="false">
      <c r="A188" s="4"/>
      <c r="B188" s="4" t="s">
        <v>364</v>
      </c>
      <c r="C188" s="11" t="s">
        <v>3</v>
      </c>
      <c r="D188" s="4" t="s">
        <v>365</v>
      </c>
      <c r="E188" s="12" t="s">
        <v>15</v>
      </c>
    </row>
    <row r="189" customFormat="false" ht="135.8" hidden="false" customHeight="false" outlineLevel="0" collapsed="false">
      <c r="A189" s="4"/>
      <c r="B189" s="4" t="s">
        <v>366</v>
      </c>
      <c r="C189" s="11" t="s">
        <v>3</v>
      </c>
      <c r="D189" s="4" t="s">
        <v>367</v>
      </c>
      <c r="E189" s="12" t="s">
        <v>15</v>
      </c>
    </row>
    <row r="190" customFormat="false" ht="46.25" hidden="false" customHeight="false" outlineLevel="0" collapsed="false">
      <c r="A190" s="4"/>
      <c r="B190" s="4" t="s">
        <v>368</v>
      </c>
      <c r="C190" s="11" t="s">
        <v>3</v>
      </c>
      <c r="D190" s="4" t="s">
        <v>369</v>
      </c>
      <c r="E190" s="12" t="s">
        <v>15</v>
      </c>
    </row>
    <row r="191" customFormat="false" ht="57.45" hidden="false" customHeight="false" outlineLevel="0" collapsed="false">
      <c r="A191" s="4"/>
      <c r="B191" s="4" t="s">
        <v>370</v>
      </c>
      <c r="C191" s="11" t="s">
        <v>3</v>
      </c>
      <c r="D191" s="4" t="s">
        <v>371</v>
      </c>
      <c r="E191" s="12" t="s">
        <v>15</v>
      </c>
    </row>
    <row r="192" customFormat="false" ht="35.05" hidden="false" customHeight="false" outlineLevel="0" collapsed="false">
      <c r="A192" s="4"/>
      <c r="B192" s="4" t="s">
        <v>372</v>
      </c>
      <c r="C192" s="11" t="s">
        <v>3</v>
      </c>
      <c r="D192" s="4" t="s">
        <v>373</v>
      </c>
      <c r="E192" s="12" t="s">
        <v>15</v>
      </c>
    </row>
    <row r="193" customFormat="false" ht="46.25" hidden="false" customHeight="false" outlineLevel="0" collapsed="false">
      <c r="A193" s="4"/>
      <c r="B193" s="4" t="s">
        <v>374</v>
      </c>
      <c r="C193" s="11" t="s">
        <v>3</v>
      </c>
      <c r="D193" s="4" t="s">
        <v>375</v>
      </c>
      <c r="E193" s="12" t="s">
        <v>15</v>
      </c>
    </row>
    <row r="194" customFormat="false" ht="35.05" hidden="false" customHeight="false" outlineLevel="0" collapsed="false">
      <c r="A194" s="4"/>
      <c r="B194" s="4" t="s">
        <v>376</v>
      </c>
      <c r="C194" s="11" t="s">
        <v>3</v>
      </c>
      <c r="D194" s="4" t="s">
        <v>377</v>
      </c>
      <c r="E194" s="12" t="s">
        <v>15</v>
      </c>
    </row>
    <row r="195" customFormat="false" ht="91" hidden="false" customHeight="false" outlineLevel="0" collapsed="false">
      <c r="A195" s="4"/>
      <c r="B195" s="4" t="s">
        <v>378</v>
      </c>
      <c r="C195" s="11" t="s">
        <v>3</v>
      </c>
      <c r="D195" s="4" t="s">
        <v>379</v>
      </c>
      <c r="E195" s="12" t="s">
        <v>15</v>
      </c>
    </row>
    <row r="196" customFormat="false" ht="113.4" hidden="false" customHeight="false" outlineLevel="0" collapsed="false">
      <c r="A196" s="4"/>
      <c r="B196" s="4" t="s">
        <v>380</v>
      </c>
      <c r="C196" s="11" t="s">
        <v>3</v>
      </c>
      <c r="D196" s="4" t="s">
        <v>381</v>
      </c>
      <c r="E196" s="12" t="s">
        <v>15</v>
      </c>
    </row>
    <row r="197" customFormat="false" ht="102.2" hidden="false" customHeight="false" outlineLevel="0" collapsed="false">
      <c r="A197" s="4"/>
      <c r="B197" s="4" t="s">
        <v>382</v>
      </c>
      <c r="C197" s="11" t="s">
        <v>3</v>
      </c>
      <c r="D197" s="4" t="s">
        <v>383</v>
      </c>
      <c r="E197" s="12" t="s">
        <v>15</v>
      </c>
    </row>
    <row r="198" customFormat="false" ht="147" hidden="false" customHeight="false" outlineLevel="0" collapsed="false">
      <c r="A198" s="4"/>
      <c r="B198" s="4" t="s">
        <v>384</v>
      </c>
      <c r="C198" s="11" t="s">
        <v>3</v>
      </c>
      <c r="D198" s="4" t="s">
        <v>385</v>
      </c>
      <c r="E198" s="12" t="s">
        <v>15</v>
      </c>
    </row>
    <row r="199" customFormat="false" ht="158.2" hidden="false" customHeight="false" outlineLevel="0" collapsed="false">
      <c r="A199" s="4"/>
      <c r="B199" s="4" t="s">
        <v>386</v>
      </c>
      <c r="C199" s="11" t="s">
        <v>3</v>
      </c>
      <c r="D199" s="4" t="s">
        <v>387</v>
      </c>
      <c r="E199" s="12" t="s">
        <v>15</v>
      </c>
    </row>
    <row r="200" customFormat="false" ht="124.6" hidden="false" customHeight="false" outlineLevel="0" collapsed="false">
      <c r="A200" s="4"/>
      <c r="B200" s="4" t="s">
        <v>388</v>
      </c>
      <c r="C200" s="11" t="s">
        <v>3</v>
      </c>
      <c r="D200" s="4" t="s">
        <v>389</v>
      </c>
      <c r="E200" s="12" t="s">
        <v>15</v>
      </c>
    </row>
    <row r="201" customFormat="false" ht="113.4" hidden="false" customHeight="false" outlineLevel="0" collapsed="false">
      <c r="A201" s="4"/>
      <c r="B201" s="4" t="s">
        <v>390</v>
      </c>
      <c r="C201" s="11" t="s">
        <v>3</v>
      </c>
      <c r="D201" s="4" t="s">
        <v>391</v>
      </c>
      <c r="E201" s="12" t="s">
        <v>15</v>
      </c>
    </row>
    <row r="202" customFormat="false" ht="113.4" hidden="false" customHeight="false" outlineLevel="0" collapsed="false">
      <c r="A202" s="4"/>
      <c r="B202" s="4" t="s">
        <v>392</v>
      </c>
      <c r="C202" s="11" t="s">
        <v>3</v>
      </c>
      <c r="D202" s="4" t="s">
        <v>393</v>
      </c>
      <c r="E202" s="12" t="s">
        <v>15</v>
      </c>
    </row>
    <row r="203" customFormat="false" ht="147" hidden="false" customHeight="false" outlineLevel="0" collapsed="false">
      <c r="A203" s="4"/>
      <c r="B203" s="4" t="s">
        <v>394</v>
      </c>
      <c r="C203" s="11" t="s">
        <v>3</v>
      </c>
      <c r="D203" s="4" t="s">
        <v>395</v>
      </c>
      <c r="E203" s="12" t="s">
        <v>15</v>
      </c>
    </row>
    <row r="204" customFormat="false" ht="35.05" hidden="false" customHeight="false" outlineLevel="0" collapsed="false">
      <c r="A204" s="4"/>
      <c r="B204" s="4" t="s">
        <v>396</v>
      </c>
      <c r="C204" s="11" t="s">
        <v>3</v>
      </c>
      <c r="D204" s="4" t="s">
        <v>397</v>
      </c>
      <c r="E204" s="12" t="s">
        <v>15</v>
      </c>
    </row>
    <row r="205" customFormat="false" ht="15" hidden="false" customHeight="true" outlineLevel="0" collapsed="false">
      <c r="A205" s="10" t="s">
        <v>16</v>
      </c>
      <c r="B205" s="10"/>
      <c r="C205" s="10"/>
      <c r="D205" s="10"/>
    </row>
    <row r="206" customFormat="false" ht="158.2" hidden="false" customHeight="false" outlineLevel="0" collapsed="false">
      <c r="A206" s="4"/>
      <c r="B206" s="4" t="s">
        <v>398</v>
      </c>
      <c r="C206" s="11" t="s">
        <v>3</v>
      </c>
      <c r="D206" s="4" t="s">
        <v>399</v>
      </c>
      <c r="E206" s="12" t="s">
        <v>16</v>
      </c>
    </row>
    <row r="207" customFormat="false" ht="23.85" hidden="false" customHeight="false" outlineLevel="0" collapsed="false">
      <c r="A207" s="4"/>
      <c r="B207" s="4" t="s">
        <v>400</v>
      </c>
      <c r="C207" s="11" t="s">
        <v>3</v>
      </c>
      <c r="D207" s="4" t="s">
        <v>401</v>
      </c>
      <c r="E207" s="12" t="s">
        <v>16</v>
      </c>
    </row>
    <row r="208" customFormat="false" ht="23.85" hidden="false" customHeight="false" outlineLevel="0" collapsed="false">
      <c r="A208" s="4"/>
      <c r="B208" s="4" t="s">
        <v>402</v>
      </c>
      <c r="C208" s="11" t="s">
        <v>3</v>
      </c>
      <c r="D208" s="4" t="s">
        <v>403</v>
      </c>
      <c r="E208" s="12" t="s">
        <v>16</v>
      </c>
    </row>
    <row r="209" customFormat="false" ht="15" hidden="false" customHeight="true" outlineLevel="0" collapsed="false">
      <c r="A209" s="10" t="s">
        <v>17</v>
      </c>
      <c r="B209" s="10"/>
      <c r="C209" s="10"/>
      <c r="D209" s="10"/>
    </row>
    <row r="210" customFormat="false" ht="169.4" hidden="false" customHeight="false" outlineLevel="0" collapsed="false">
      <c r="A210" s="4"/>
      <c r="B210" s="4" t="s">
        <v>404</v>
      </c>
      <c r="C210" s="11" t="s">
        <v>3</v>
      </c>
      <c r="D210" s="4" t="s">
        <v>405</v>
      </c>
      <c r="E210" s="12" t="s">
        <v>17</v>
      </c>
    </row>
    <row r="211" customFormat="false" ht="147" hidden="false" customHeight="false" outlineLevel="0" collapsed="false">
      <c r="A211" s="4"/>
      <c r="B211" s="4" t="s">
        <v>406</v>
      </c>
      <c r="C211" s="11" t="s">
        <v>3</v>
      </c>
      <c r="D211" s="4" t="s">
        <v>407</v>
      </c>
      <c r="E211" s="12" t="s">
        <v>17</v>
      </c>
    </row>
    <row r="212" customFormat="false" ht="158.2" hidden="false" customHeight="false" outlineLevel="0" collapsed="false">
      <c r="A212" s="4"/>
      <c r="B212" s="4" t="s">
        <v>408</v>
      </c>
      <c r="C212" s="11" t="s">
        <v>3</v>
      </c>
      <c r="D212" s="4" t="s">
        <v>409</v>
      </c>
      <c r="E212" s="12" t="s">
        <v>17</v>
      </c>
    </row>
    <row r="213" customFormat="false" ht="158.2" hidden="false" customHeight="false" outlineLevel="0" collapsed="false">
      <c r="A213" s="4"/>
      <c r="B213" s="4" t="s">
        <v>410</v>
      </c>
      <c r="C213" s="11" t="s">
        <v>3</v>
      </c>
      <c r="D213" s="4" t="s">
        <v>411</v>
      </c>
      <c r="E213" s="12" t="s">
        <v>17</v>
      </c>
    </row>
    <row r="214" customFormat="false" ht="91" hidden="false" customHeight="false" outlineLevel="0" collapsed="false">
      <c r="A214" s="4"/>
      <c r="B214" s="4" t="s">
        <v>412</v>
      </c>
      <c r="C214" s="11" t="s">
        <v>3</v>
      </c>
      <c r="D214" s="4" t="s">
        <v>413</v>
      </c>
      <c r="E214" s="12" t="s">
        <v>17</v>
      </c>
    </row>
    <row r="215" customFormat="false" ht="68.65" hidden="false" customHeight="false" outlineLevel="0" collapsed="false">
      <c r="A215" s="4"/>
      <c r="B215" s="4" t="s">
        <v>414</v>
      </c>
      <c r="C215" s="11" t="s">
        <v>3</v>
      </c>
      <c r="D215" s="4" t="s">
        <v>415</v>
      </c>
      <c r="E215" s="12" t="s">
        <v>17</v>
      </c>
    </row>
    <row r="216" customFormat="false" ht="35.05" hidden="false" customHeight="false" outlineLevel="0" collapsed="false">
      <c r="A216" s="4"/>
      <c r="B216" s="4" t="s">
        <v>416</v>
      </c>
      <c r="C216" s="11" t="s">
        <v>3</v>
      </c>
      <c r="D216" s="4" t="s">
        <v>417</v>
      </c>
      <c r="E216" s="12" t="s">
        <v>17</v>
      </c>
    </row>
    <row r="217" customFormat="false" ht="147" hidden="false" customHeight="false" outlineLevel="0" collapsed="false">
      <c r="A217" s="4"/>
      <c r="B217" s="4" t="s">
        <v>418</v>
      </c>
      <c r="C217" s="11" t="s">
        <v>3</v>
      </c>
      <c r="D217" s="4" t="s">
        <v>419</v>
      </c>
      <c r="E217" s="12" t="s">
        <v>17</v>
      </c>
    </row>
    <row r="218" customFormat="false" ht="57.45" hidden="false" customHeight="false" outlineLevel="0" collapsed="false">
      <c r="A218" s="4"/>
      <c r="B218" s="4" t="s">
        <v>420</v>
      </c>
      <c r="C218" s="11" t="s">
        <v>3</v>
      </c>
      <c r="D218" s="4" t="s">
        <v>421</v>
      </c>
      <c r="E218" s="12" t="s">
        <v>17</v>
      </c>
    </row>
    <row r="219" customFormat="false" ht="158.2" hidden="false" customHeight="false" outlineLevel="0" collapsed="false">
      <c r="A219" s="4"/>
      <c r="B219" s="4" t="s">
        <v>422</v>
      </c>
      <c r="C219" s="11" t="s">
        <v>3</v>
      </c>
      <c r="D219" s="4" t="s">
        <v>423</v>
      </c>
      <c r="E219" s="12" t="s">
        <v>17</v>
      </c>
    </row>
    <row r="220" customFormat="false" ht="46.25" hidden="false" customHeight="false" outlineLevel="0" collapsed="false">
      <c r="A220" s="4"/>
      <c r="B220" s="4" t="s">
        <v>424</v>
      </c>
      <c r="C220" s="11" t="s">
        <v>3</v>
      </c>
      <c r="D220" s="4" t="s">
        <v>425</v>
      </c>
      <c r="E220" s="12" t="s">
        <v>17</v>
      </c>
    </row>
    <row r="221" customFormat="false" ht="57.45" hidden="false" customHeight="false" outlineLevel="0" collapsed="false">
      <c r="A221" s="4"/>
      <c r="B221" s="4" t="s">
        <v>426</v>
      </c>
      <c r="C221" s="11" t="s">
        <v>3</v>
      </c>
      <c r="D221" s="4" t="s">
        <v>427</v>
      </c>
      <c r="E221" s="12" t="s">
        <v>17</v>
      </c>
    </row>
    <row r="222" customFormat="false" ht="57.45" hidden="false" customHeight="false" outlineLevel="0" collapsed="false">
      <c r="A222" s="4"/>
      <c r="B222" s="4" t="s">
        <v>428</v>
      </c>
      <c r="C222" s="11" t="s">
        <v>3</v>
      </c>
      <c r="D222" s="4" t="s">
        <v>429</v>
      </c>
      <c r="E222" s="12" t="s">
        <v>17</v>
      </c>
    </row>
    <row r="223" customFormat="false" ht="23.85" hidden="false" customHeight="false" outlineLevel="0" collapsed="false">
      <c r="A223" s="4"/>
      <c r="B223" s="4" t="s">
        <v>430</v>
      </c>
      <c r="C223" s="11" t="s">
        <v>3</v>
      </c>
      <c r="D223" s="4" t="s">
        <v>431</v>
      </c>
      <c r="E223" s="12" t="s">
        <v>17</v>
      </c>
    </row>
    <row r="224" customFormat="false" ht="91" hidden="false" customHeight="false" outlineLevel="0" collapsed="false">
      <c r="A224" s="4"/>
      <c r="B224" s="4" t="s">
        <v>432</v>
      </c>
      <c r="C224" s="11" t="s">
        <v>3</v>
      </c>
      <c r="D224" s="4" t="s">
        <v>433</v>
      </c>
      <c r="E224" s="12" t="s">
        <v>17</v>
      </c>
    </row>
    <row r="225" customFormat="false" ht="91" hidden="false" customHeight="false" outlineLevel="0" collapsed="false">
      <c r="A225" s="4"/>
      <c r="B225" s="4" t="s">
        <v>434</v>
      </c>
      <c r="C225" s="11" t="s">
        <v>3</v>
      </c>
      <c r="D225" s="4" t="s">
        <v>435</v>
      </c>
      <c r="E225" s="12" t="s">
        <v>17</v>
      </c>
    </row>
    <row r="226" customFormat="false" ht="158.2" hidden="false" customHeight="false" outlineLevel="0" collapsed="false">
      <c r="A226" s="4"/>
      <c r="B226" s="4" t="s">
        <v>436</v>
      </c>
      <c r="C226" s="11" t="s">
        <v>3</v>
      </c>
      <c r="D226" s="4" t="s">
        <v>437</v>
      </c>
      <c r="E226" s="12" t="s">
        <v>17</v>
      </c>
    </row>
    <row r="227" customFormat="false" ht="135.8" hidden="false" customHeight="false" outlineLevel="0" collapsed="false">
      <c r="A227" s="4"/>
      <c r="B227" s="4" t="s">
        <v>438</v>
      </c>
      <c r="C227" s="11" t="s">
        <v>3</v>
      </c>
      <c r="D227" s="4" t="s">
        <v>439</v>
      </c>
      <c r="E227" s="12" t="s">
        <v>17</v>
      </c>
    </row>
    <row r="228" customFormat="false" ht="135.8" hidden="false" customHeight="false" outlineLevel="0" collapsed="false">
      <c r="A228" s="4"/>
      <c r="B228" s="4" t="s">
        <v>440</v>
      </c>
      <c r="C228" s="11" t="s">
        <v>3</v>
      </c>
      <c r="D228" s="4" t="s">
        <v>441</v>
      </c>
      <c r="E228" s="12" t="s">
        <v>17</v>
      </c>
    </row>
    <row r="229" customFormat="false" ht="135.8" hidden="false" customHeight="false" outlineLevel="0" collapsed="false">
      <c r="A229" s="4"/>
      <c r="B229" s="4" t="s">
        <v>442</v>
      </c>
      <c r="C229" s="11" t="s">
        <v>3</v>
      </c>
      <c r="D229" s="4" t="s">
        <v>443</v>
      </c>
      <c r="E229" s="12" t="s">
        <v>17</v>
      </c>
    </row>
    <row r="230" customFormat="false" ht="147" hidden="false" customHeight="false" outlineLevel="0" collapsed="false">
      <c r="A230" s="4"/>
      <c r="B230" s="4" t="s">
        <v>444</v>
      </c>
      <c r="C230" s="11" t="s">
        <v>3</v>
      </c>
      <c r="D230" s="4" t="s">
        <v>445</v>
      </c>
      <c r="E230" s="12" t="s">
        <v>17</v>
      </c>
    </row>
    <row r="231" customFormat="false" ht="158.2" hidden="false" customHeight="false" outlineLevel="0" collapsed="false">
      <c r="A231" s="4"/>
      <c r="B231" s="4" t="s">
        <v>446</v>
      </c>
      <c r="C231" s="11" t="s">
        <v>3</v>
      </c>
      <c r="D231" s="4" t="s">
        <v>447</v>
      </c>
      <c r="E231" s="12" t="s">
        <v>17</v>
      </c>
    </row>
    <row r="232" customFormat="false" ht="147" hidden="false" customHeight="false" outlineLevel="0" collapsed="false">
      <c r="A232" s="4"/>
      <c r="B232" s="4" t="s">
        <v>448</v>
      </c>
      <c r="C232" s="11" t="s">
        <v>3</v>
      </c>
      <c r="D232" s="4" t="s">
        <v>449</v>
      </c>
      <c r="E232" s="12" t="s">
        <v>17</v>
      </c>
    </row>
    <row r="233" customFormat="false" ht="135.8" hidden="false" customHeight="false" outlineLevel="0" collapsed="false">
      <c r="A233" s="4"/>
      <c r="B233" s="4" t="s">
        <v>450</v>
      </c>
      <c r="C233" s="11" t="s">
        <v>3</v>
      </c>
      <c r="D233" s="4" t="s">
        <v>451</v>
      </c>
      <c r="E233" s="12" t="s">
        <v>17</v>
      </c>
    </row>
    <row r="234" customFormat="false" ht="158.2" hidden="false" customHeight="false" outlineLevel="0" collapsed="false">
      <c r="A234" s="4"/>
      <c r="B234" s="4" t="s">
        <v>452</v>
      </c>
      <c r="C234" s="11" t="s">
        <v>3</v>
      </c>
      <c r="D234" s="4" t="s">
        <v>453</v>
      </c>
      <c r="E234" s="12" t="s">
        <v>17</v>
      </c>
    </row>
    <row r="235" customFormat="false" ht="23.85" hidden="false" customHeight="false" outlineLevel="0" collapsed="false">
      <c r="A235" s="4"/>
      <c r="B235" s="4" t="s">
        <v>454</v>
      </c>
      <c r="C235" s="11" t="s">
        <v>3</v>
      </c>
      <c r="D235" s="4" t="s">
        <v>455</v>
      </c>
      <c r="E235" s="12" t="s">
        <v>17</v>
      </c>
    </row>
    <row r="236" customFormat="false" ht="23.85" hidden="false" customHeight="false" outlineLevel="0" collapsed="false">
      <c r="A236" s="4"/>
      <c r="B236" s="4" t="s">
        <v>456</v>
      </c>
      <c r="C236" s="11" t="s">
        <v>3</v>
      </c>
      <c r="D236" s="4" t="s">
        <v>457</v>
      </c>
      <c r="E236" s="12" t="s">
        <v>17</v>
      </c>
    </row>
    <row r="237" customFormat="false" ht="15" hidden="false" customHeight="true" outlineLevel="0" collapsed="false">
      <c r="A237" s="10" t="s">
        <v>19</v>
      </c>
      <c r="B237" s="10"/>
      <c r="C237" s="10"/>
      <c r="D237" s="10"/>
    </row>
    <row r="238" customFormat="false" ht="46.25" hidden="false" customHeight="false" outlineLevel="0" collapsed="false">
      <c r="A238" s="4"/>
      <c r="B238" s="4" t="s">
        <v>458</v>
      </c>
      <c r="C238" s="11" t="s">
        <v>3</v>
      </c>
      <c r="D238" s="4" t="s">
        <v>459</v>
      </c>
      <c r="E238" s="12" t="s">
        <v>19</v>
      </c>
    </row>
    <row r="239" customFormat="false" ht="35.05" hidden="false" customHeight="false" outlineLevel="0" collapsed="false">
      <c r="A239" s="4"/>
      <c r="B239" s="4" t="s">
        <v>460</v>
      </c>
      <c r="C239" s="11" t="s">
        <v>3</v>
      </c>
      <c r="D239" s="4" t="s">
        <v>461</v>
      </c>
      <c r="E239" s="12" t="s">
        <v>19</v>
      </c>
    </row>
    <row r="240" customFormat="false" ht="46.25" hidden="false" customHeight="false" outlineLevel="0" collapsed="false">
      <c r="A240" s="4"/>
      <c r="B240" s="4" t="s">
        <v>462</v>
      </c>
      <c r="C240" s="11" t="s">
        <v>3</v>
      </c>
      <c r="D240" s="4" t="s">
        <v>463</v>
      </c>
      <c r="E240" s="12" t="s">
        <v>19</v>
      </c>
    </row>
    <row r="241" customFormat="false" ht="23.85" hidden="false" customHeight="false" outlineLevel="0" collapsed="false">
      <c r="A241" s="4"/>
      <c r="B241" s="4" t="s">
        <v>464</v>
      </c>
      <c r="C241" s="11" t="s">
        <v>3</v>
      </c>
      <c r="D241" s="4"/>
      <c r="E241" s="12" t="s">
        <v>19</v>
      </c>
    </row>
    <row r="242" customFormat="false" ht="46.25" hidden="false" customHeight="false" outlineLevel="0" collapsed="false">
      <c r="A242" s="4"/>
      <c r="B242" s="4" t="s">
        <v>465</v>
      </c>
      <c r="C242" s="11" t="s">
        <v>3</v>
      </c>
      <c r="D242" s="4"/>
      <c r="E242" s="12" t="s">
        <v>19</v>
      </c>
    </row>
    <row r="243" customFormat="false" ht="46.25" hidden="false" customHeight="false" outlineLevel="0" collapsed="false">
      <c r="A243" s="4"/>
      <c r="B243" s="4" t="s">
        <v>466</v>
      </c>
      <c r="C243" s="11" t="s">
        <v>3</v>
      </c>
      <c r="D243" s="4"/>
      <c r="E243" s="12" t="s">
        <v>19</v>
      </c>
    </row>
    <row r="244" customFormat="false" ht="15" hidden="false" customHeight="false" outlineLevel="0" collapsed="false">
      <c r="A244" s="4"/>
      <c r="B244" s="4" t="s">
        <v>467</v>
      </c>
      <c r="C244" s="11" t="s">
        <v>3</v>
      </c>
      <c r="D244" s="4" t="s">
        <v>468</v>
      </c>
      <c r="E244" s="12" t="s">
        <v>19</v>
      </c>
    </row>
    <row r="245" customFormat="false" ht="35.05" hidden="false" customHeight="false" outlineLevel="0" collapsed="false">
      <c r="A245" s="4"/>
      <c r="B245" s="4" t="s">
        <v>469</v>
      </c>
      <c r="C245" s="11" t="s">
        <v>3</v>
      </c>
      <c r="D245" s="4" t="s">
        <v>470</v>
      </c>
      <c r="E245" s="12" t="s">
        <v>19</v>
      </c>
    </row>
    <row r="246" customFormat="false" ht="57.45" hidden="false" customHeight="false" outlineLevel="0" collapsed="false">
      <c r="A246" s="4"/>
      <c r="B246" s="4" t="s">
        <v>471</v>
      </c>
      <c r="C246" s="13" t="s">
        <v>4</v>
      </c>
      <c r="D246" s="4" t="s">
        <v>472</v>
      </c>
      <c r="E246" s="12" t="s">
        <v>19</v>
      </c>
    </row>
    <row r="247" customFormat="false" ht="23.85" hidden="false" customHeight="false" outlineLevel="0" collapsed="false">
      <c r="A247" s="4"/>
      <c r="B247" s="4" t="s">
        <v>473</v>
      </c>
      <c r="C247" s="13" t="s">
        <v>4</v>
      </c>
      <c r="D247" s="4"/>
      <c r="E247" s="12" t="s">
        <v>19</v>
      </c>
    </row>
    <row r="248" customFormat="false" ht="57.45" hidden="false" customHeight="false" outlineLevel="0" collapsed="false">
      <c r="A248" s="4"/>
      <c r="B248" s="4" t="s">
        <v>474</v>
      </c>
      <c r="C248" s="11" t="s">
        <v>3</v>
      </c>
      <c r="D248" s="4" t="s">
        <v>475</v>
      </c>
      <c r="E248" s="12" t="s">
        <v>19</v>
      </c>
    </row>
    <row r="249" customFormat="false" ht="23.85" hidden="false" customHeight="false" outlineLevel="0" collapsed="false">
      <c r="A249" s="4"/>
      <c r="B249" s="4" t="s">
        <v>476</v>
      </c>
      <c r="C249" s="11" t="s">
        <v>3</v>
      </c>
      <c r="D249" s="4" t="s">
        <v>477</v>
      </c>
      <c r="E249" s="12" t="s">
        <v>19</v>
      </c>
    </row>
    <row r="250" customFormat="false" ht="35.05" hidden="false" customHeight="false" outlineLevel="0" collapsed="false">
      <c r="A250" s="4"/>
      <c r="B250" s="4" t="s">
        <v>478</v>
      </c>
      <c r="C250" s="11" t="s">
        <v>3</v>
      </c>
      <c r="D250" s="4" t="s">
        <v>479</v>
      </c>
      <c r="E250" s="12" t="s">
        <v>19</v>
      </c>
    </row>
    <row r="251" customFormat="false" ht="46.25" hidden="false" customHeight="false" outlineLevel="0" collapsed="false">
      <c r="A251" s="4"/>
      <c r="B251" s="4" t="s">
        <v>480</v>
      </c>
      <c r="C251" s="11" t="s">
        <v>3</v>
      </c>
      <c r="D251" s="4" t="s">
        <v>481</v>
      </c>
      <c r="E251" s="12" t="s">
        <v>19</v>
      </c>
    </row>
    <row r="252" customFormat="false" ht="57.45" hidden="false" customHeight="false" outlineLevel="0" collapsed="false">
      <c r="A252" s="4"/>
      <c r="B252" s="4" t="s">
        <v>482</v>
      </c>
      <c r="C252" s="11" t="s">
        <v>3</v>
      </c>
      <c r="D252" s="4" t="s">
        <v>483</v>
      </c>
      <c r="E252" s="12" t="s">
        <v>19</v>
      </c>
    </row>
    <row r="253" customFormat="false" ht="124.6" hidden="false" customHeight="false" outlineLevel="0" collapsed="false">
      <c r="A253" s="4"/>
      <c r="B253" s="4" t="s">
        <v>484</v>
      </c>
      <c r="C253" s="11" t="s">
        <v>3</v>
      </c>
      <c r="D253" s="4" t="s">
        <v>485</v>
      </c>
      <c r="E253" s="12" t="s">
        <v>19</v>
      </c>
    </row>
    <row r="254" customFormat="false" ht="46.25" hidden="false" customHeight="false" outlineLevel="0" collapsed="false">
      <c r="A254" s="4"/>
      <c r="B254" s="4" t="s">
        <v>486</v>
      </c>
      <c r="C254" s="11" t="s">
        <v>3</v>
      </c>
      <c r="D254" s="4" t="s">
        <v>487</v>
      </c>
      <c r="E254" s="12" t="s">
        <v>19</v>
      </c>
    </row>
    <row r="255" customFormat="false" ht="46.25" hidden="false" customHeight="false" outlineLevel="0" collapsed="false">
      <c r="A255" s="4"/>
      <c r="B255" s="4" t="s">
        <v>488</v>
      </c>
      <c r="C255" s="13" t="s">
        <v>4</v>
      </c>
      <c r="D255" s="4" t="s">
        <v>489</v>
      </c>
      <c r="E255" s="12" t="s">
        <v>19</v>
      </c>
    </row>
    <row r="256" customFormat="false" ht="15" hidden="false" customHeight="true" outlineLevel="0" collapsed="false">
      <c r="A256" s="10" t="s">
        <v>20</v>
      </c>
      <c r="B256" s="10"/>
      <c r="C256" s="10"/>
      <c r="D256" s="10"/>
    </row>
    <row r="257" customFormat="false" ht="79.85" hidden="false" customHeight="false" outlineLevel="0" collapsed="false">
      <c r="A257" s="4"/>
      <c r="B257" s="4" t="s">
        <v>490</v>
      </c>
      <c r="C257" s="11" t="s">
        <v>3</v>
      </c>
      <c r="D257" s="4" t="s">
        <v>491</v>
      </c>
      <c r="E257" s="12" t="s">
        <v>20</v>
      </c>
    </row>
    <row r="258" customFormat="false" ht="102.2" hidden="false" customHeight="false" outlineLevel="0" collapsed="false">
      <c r="A258" s="4"/>
      <c r="B258" s="4" t="s">
        <v>492</v>
      </c>
      <c r="C258" s="11" t="s">
        <v>3</v>
      </c>
      <c r="D258" s="4" t="s">
        <v>493</v>
      </c>
      <c r="E258" s="12" t="s">
        <v>20</v>
      </c>
    </row>
    <row r="259" customFormat="false" ht="23.85" hidden="false" customHeight="false" outlineLevel="0" collapsed="false">
      <c r="A259" s="4"/>
      <c r="B259" s="4" t="s">
        <v>494</v>
      </c>
      <c r="C259" s="11" t="s">
        <v>3</v>
      </c>
      <c r="D259" s="4" t="s">
        <v>495</v>
      </c>
      <c r="E259" s="12" t="s">
        <v>20</v>
      </c>
    </row>
    <row r="260" customFormat="false" ht="46.25" hidden="false" customHeight="false" outlineLevel="0" collapsed="false">
      <c r="A260" s="4"/>
      <c r="B260" s="4" t="s">
        <v>496</v>
      </c>
      <c r="C260" s="11" t="s">
        <v>3</v>
      </c>
      <c r="D260" s="4" t="s">
        <v>497</v>
      </c>
      <c r="E260" s="12" t="s">
        <v>20</v>
      </c>
    </row>
    <row r="261" customFormat="false" ht="57.45" hidden="false" customHeight="false" outlineLevel="0" collapsed="false">
      <c r="A261" s="4"/>
      <c r="B261" s="4" t="s">
        <v>498</v>
      </c>
      <c r="C261" s="11" t="s">
        <v>3</v>
      </c>
      <c r="D261" s="4" t="s">
        <v>499</v>
      </c>
      <c r="E261" s="12" t="s">
        <v>20</v>
      </c>
    </row>
    <row r="262" customFormat="false" ht="46.25" hidden="false" customHeight="false" outlineLevel="0" collapsed="false">
      <c r="A262" s="4"/>
      <c r="B262" s="4" t="s">
        <v>500</v>
      </c>
      <c r="C262" s="11" t="s">
        <v>3</v>
      </c>
      <c r="D262" s="4" t="s">
        <v>501</v>
      </c>
      <c r="E262" s="12" t="s">
        <v>20</v>
      </c>
    </row>
    <row r="263" customFormat="false" ht="57.45" hidden="false" customHeight="false" outlineLevel="0" collapsed="false">
      <c r="A263" s="4"/>
      <c r="B263" s="4" t="s">
        <v>502</v>
      </c>
      <c r="C263" s="11" t="s">
        <v>3</v>
      </c>
      <c r="D263" s="4" t="s">
        <v>503</v>
      </c>
      <c r="E263" s="12" t="s">
        <v>20</v>
      </c>
    </row>
    <row r="264" customFormat="false" ht="79.85" hidden="false" customHeight="false" outlineLevel="0" collapsed="false">
      <c r="A264" s="4"/>
      <c r="B264" s="4" t="s">
        <v>504</v>
      </c>
      <c r="C264" s="11" t="s">
        <v>3</v>
      </c>
      <c r="D264" s="4" t="s">
        <v>505</v>
      </c>
      <c r="E264" s="12" t="s">
        <v>20</v>
      </c>
    </row>
    <row r="265" customFormat="false" ht="135.8" hidden="false" customHeight="false" outlineLevel="0" collapsed="false">
      <c r="A265" s="4"/>
      <c r="B265" s="4" t="s">
        <v>506</v>
      </c>
      <c r="C265" s="11" t="s">
        <v>3</v>
      </c>
      <c r="D265" s="4" t="s">
        <v>507</v>
      </c>
      <c r="E265" s="12" t="s">
        <v>20</v>
      </c>
    </row>
    <row r="266" customFormat="false" ht="46.25" hidden="false" customHeight="false" outlineLevel="0" collapsed="false">
      <c r="A266" s="4"/>
      <c r="B266" s="4" t="s">
        <v>508</v>
      </c>
      <c r="C266" s="11" t="s">
        <v>3</v>
      </c>
      <c r="D266" s="4" t="s">
        <v>509</v>
      </c>
      <c r="E266" s="12" t="s">
        <v>20</v>
      </c>
    </row>
    <row r="267" customFormat="false" ht="23.85" hidden="false" customHeight="false" outlineLevel="0" collapsed="false">
      <c r="A267" s="4"/>
      <c r="B267" s="4" t="s">
        <v>510</v>
      </c>
      <c r="C267" s="13" t="s">
        <v>4</v>
      </c>
      <c r="D267" s="4" t="s">
        <v>511</v>
      </c>
      <c r="E267" s="12" t="s">
        <v>20</v>
      </c>
    </row>
    <row r="268" customFormat="false" ht="15" hidden="false" customHeight="false" outlineLevel="0" collapsed="false">
      <c r="A268" s="4"/>
      <c r="B268" s="4" t="s">
        <v>512</v>
      </c>
      <c r="C268" s="13" t="s">
        <v>4</v>
      </c>
      <c r="D268" s="4" t="s">
        <v>513</v>
      </c>
      <c r="E268" s="12" t="s">
        <v>20</v>
      </c>
    </row>
    <row r="269" customFormat="false" ht="68.65" hidden="false" customHeight="false" outlineLevel="0" collapsed="false">
      <c r="A269" s="4"/>
      <c r="B269" s="4" t="s">
        <v>514</v>
      </c>
      <c r="C269" s="11" t="s">
        <v>3</v>
      </c>
      <c r="D269" s="4" t="s">
        <v>515</v>
      </c>
      <c r="E269" s="12" t="s">
        <v>20</v>
      </c>
    </row>
    <row r="270" customFormat="false" ht="79.85" hidden="false" customHeight="false" outlineLevel="0" collapsed="false">
      <c r="A270" s="4"/>
      <c r="B270" s="4" t="s">
        <v>516</v>
      </c>
      <c r="C270" s="11" t="s">
        <v>3</v>
      </c>
      <c r="D270" s="4" t="s">
        <v>517</v>
      </c>
      <c r="E270" s="12" t="s">
        <v>20</v>
      </c>
    </row>
    <row r="271" customFormat="false" ht="23.85" hidden="false" customHeight="false" outlineLevel="0" collapsed="false">
      <c r="A271" s="4"/>
      <c r="B271" s="4" t="s">
        <v>518</v>
      </c>
      <c r="C271" s="11" t="s">
        <v>3</v>
      </c>
      <c r="D271" s="4" t="s">
        <v>519</v>
      </c>
      <c r="E271" s="12" t="s">
        <v>20</v>
      </c>
    </row>
    <row r="272" customFormat="false" ht="79.85" hidden="false" customHeight="false" outlineLevel="0" collapsed="false">
      <c r="A272" s="4"/>
      <c r="B272" s="4" t="s">
        <v>520</v>
      </c>
      <c r="C272" s="11" t="s">
        <v>3</v>
      </c>
      <c r="D272" s="4" t="s">
        <v>521</v>
      </c>
      <c r="E272" s="12" t="s">
        <v>20</v>
      </c>
    </row>
    <row r="273" customFormat="false" ht="79.85" hidden="false" customHeight="false" outlineLevel="0" collapsed="false">
      <c r="A273" s="4"/>
      <c r="B273" s="4" t="s">
        <v>522</v>
      </c>
      <c r="C273" s="11" t="s">
        <v>3</v>
      </c>
      <c r="D273" s="4" t="s">
        <v>523</v>
      </c>
      <c r="E273" s="12" t="s">
        <v>20</v>
      </c>
    </row>
    <row r="274" customFormat="false" ht="135.8" hidden="false" customHeight="false" outlineLevel="0" collapsed="false">
      <c r="A274" s="4"/>
      <c r="B274" s="4" t="s">
        <v>524</v>
      </c>
      <c r="C274" s="11" t="s">
        <v>3</v>
      </c>
      <c r="D274" s="4" t="s">
        <v>525</v>
      </c>
      <c r="E274" s="12" t="s">
        <v>20</v>
      </c>
    </row>
    <row r="275" customFormat="false" ht="147" hidden="false" customHeight="false" outlineLevel="0" collapsed="false">
      <c r="A275" s="4"/>
      <c r="B275" s="4" t="s">
        <v>526</v>
      </c>
      <c r="C275" s="11" t="s">
        <v>3</v>
      </c>
      <c r="D275" s="4" t="s">
        <v>527</v>
      </c>
      <c r="E275" s="12" t="s">
        <v>20</v>
      </c>
    </row>
    <row r="276" customFormat="false" ht="23.85" hidden="false" customHeight="false" outlineLevel="0" collapsed="false">
      <c r="A276" s="4"/>
      <c r="B276" s="4" t="s">
        <v>528</v>
      </c>
      <c r="C276" s="13" t="s">
        <v>4</v>
      </c>
      <c r="D276" s="4" t="s">
        <v>529</v>
      </c>
      <c r="E276" s="12" t="s">
        <v>20</v>
      </c>
    </row>
    <row r="277" customFormat="false" ht="35.05" hidden="false" customHeight="false" outlineLevel="0" collapsed="false">
      <c r="A277" s="4"/>
      <c r="B277" s="4" t="s">
        <v>530</v>
      </c>
      <c r="C277" s="13" t="s">
        <v>4</v>
      </c>
      <c r="D277" s="4" t="s">
        <v>531</v>
      </c>
      <c r="E277" s="12" t="s">
        <v>20</v>
      </c>
    </row>
    <row r="278" customFormat="false" ht="147" hidden="false" customHeight="false" outlineLevel="0" collapsed="false">
      <c r="A278" s="4"/>
      <c r="B278" s="4" t="s">
        <v>532</v>
      </c>
      <c r="C278" s="14" t="s">
        <v>5</v>
      </c>
      <c r="D278" s="4" t="s">
        <v>533</v>
      </c>
      <c r="E278" s="12" t="s">
        <v>20</v>
      </c>
    </row>
    <row r="279" customFormat="false" ht="158.2" hidden="false" customHeight="false" outlineLevel="0" collapsed="false">
      <c r="A279" s="4"/>
      <c r="B279" s="4" t="s">
        <v>534</v>
      </c>
      <c r="C279" s="13" t="s">
        <v>4</v>
      </c>
      <c r="D279" s="4" t="s">
        <v>535</v>
      </c>
      <c r="E279" s="12" t="s">
        <v>20</v>
      </c>
    </row>
    <row r="280" customFormat="false" ht="158.2" hidden="false" customHeight="false" outlineLevel="0" collapsed="false">
      <c r="A280" s="4"/>
      <c r="B280" s="4" t="s">
        <v>536</v>
      </c>
      <c r="C280" s="11" t="s">
        <v>3</v>
      </c>
      <c r="D280" s="4" t="s">
        <v>537</v>
      </c>
      <c r="E280" s="12" t="s">
        <v>20</v>
      </c>
    </row>
    <row r="281" customFormat="false" ht="79.85" hidden="false" customHeight="false" outlineLevel="0" collapsed="false">
      <c r="A281" s="4"/>
      <c r="B281" s="4" t="s">
        <v>538</v>
      </c>
      <c r="C281" s="13" t="s">
        <v>4</v>
      </c>
      <c r="D281" s="4" t="s">
        <v>539</v>
      </c>
      <c r="E281" s="12" t="s">
        <v>20</v>
      </c>
    </row>
    <row r="282" customFormat="false" ht="23.85" hidden="false" customHeight="false" outlineLevel="0" collapsed="false">
      <c r="A282" s="4"/>
      <c r="B282" s="4" t="s">
        <v>540</v>
      </c>
      <c r="C282" s="13" t="s">
        <v>4</v>
      </c>
      <c r="D282" s="4"/>
      <c r="E282" s="12" t="s">
        <v>20</v>
      </c>
    </row>
    <row r="283" customFormat="false" ht="46.25" hidden="false" customHeight="false" outlineLevel="0" collapsed="false">
      <c r="A283" s="4"/>
      <c r="B283" s="4" t="s">
        <v>541</v>
      </c>
      <c r="C283" s="11" t="s">
        <v>3</v>
      </c>
      <c r="D283" s="4" t="s">
        <v>542</v>
      </c>
      <c r="E283" s="12" t="s">
        <v>20</v>
      </c>
    </row>
    <row r="284" customFormat="false" ht="23.85" hidden="false" customHeight="false" outlineLevel="0" collapsed="false">
      <c r="A284" s="4"/>
      <c r="B284" s="4" t="s">
        <v>543</v>
      </c>
      <c r="C284" s="11" t="s">
        <v>3</v>
      </c>
      <c r="D284" s="4" t="s">
        <v>544</v>
      </c>
      <c r="E284" s="12" t="s">
        <v>20</v>
      </c>
    </row>
    <row r="285" customFormat="false" ht="102.2" hidden="false" customHeight="false" outlineLevel="0" collapsed="false">
      <c r="A285" s="4"/>
      <c r="B285" s="4" t="s">
        <v>545</v>
      </c>
      <c r="C285" s="11" t="s">
        <v>3</v>
      </c>
      <c r="D285" s="4" t="s">
        <v>546</v>
      </c>
      <c r="E285" s="12" t="s">
        <v>20</v>
      </c>
    </row>
    <row r="286" customFormat="false" ht="23.85" hidden="false" customHeight="false" outlineLevel="0" collapsed="false">
      <c r="A286" s="4"/>
      <c r="B286" s="4" t="s">
        <v>547</v>
      </c>
      <c r="C286" s="11" t="s">
        <v>3</v>
      </c>
      <c r="D286" s="4" t="s">
        <v>548</v>
      </c>
      <c r="E286" s="12" t="s">
        <v>20</v>
      </c>
    </row>
    <row r="287" customFormat="false" ht="68.65" hidden="false" customHeight="false" outlineLevel="0" collapsed="false">
      <c r="A287" s="4"/>
      <c r="B287" s="4" t="s">
        <v>549</v>
      </c>
      <c r="C287" s="11" t="s">
        <v>3</v>
      </c>
      <c r="D287" s="4" t="s">
        <v>550</v>
      </c>
      <c r="E287" s="12" t="s">
        <v>20</v>
      </c>
    </row>
    <row r="288" customFormat="false" ht="23.85" hidden="false" customHeight="false" outlineLevel="0" collapsed="false">
      <c r="A288" s="4"/>
      <c r="B288" s="4" t="s">
        <v>551</v>
      </c>
      <c r="C288" s="11" t="s">
        <v>3</v>
      </c>
      <c r="D288" s="4" t="s">
        <v>552</v>
      </c>
      <c r="E288" s="12" t="s">
        <v>20</v>
      </c>
    </row>
    <row r="289" customFormat="false" ht="57.45" hidden="false" customHeight="false" outlineLevel="0" collapsed="false">
      <c r="A289" s="4"/>
      <c r="B289" s="4" t="s">
        <v>553</v>
      </c>
      <c r="C289" s="11" t="s">
        <v>3</v>
      </c>
      <c r="D289" s="4" t="s">
        <v>554</v>
      </c>
      <c r="E289" s="12" t="s">
        <v>20</v>
      </c>
    </row>
    <row r="290" customFormat="false" ht="79.85" hidden="false" customHeight="false" outlineLevel="0" collapsed="false">
      <c r="A290" s="4"/>
      <c r="B290" s="4" t="s">
        <v>555</v>
      </c>
      <c r="C290" s="13" t="s">
        <v>4</v>
      </c>
      <c r="D290" s="4" t="s">
        <v>556</v>
      </c>
      <c r="E290" s="12" t="s">
        <v>20</v>
      </c>
    </row>
    <row r="291" customFormat="false" ht="15" hidden="false" customHeight="true" outlineLevel="0" collapsed="false">
      <c r="A291" s="10" t="s">
        <v>21</v>
      </c>
      <c r="B291" s="10"/>
      <c r="C291" s="10"/>
      <c r="D291" s="10"/>
    </row>
    <row r="292" customFormat="false" ht="68.65" hidden="false" customHeight="false" outlineLevel="0" collapsed="false">
      <c r="A292" s="4"/>
      <c r="B292" s="4" t="s">
        <v>557</v>
      </c>
      <c r="C292" s="11" t="s">
        <v>3</v>
      </c>
      <c r="D292" s="4" t="s">
        <v>558</v>
      </c>
      <c r="E292" s="12" t="s">
        <v>21</v>
      </c>
    </row>
    <row r="293" customFormat="false" ht="15" hidden="false" customHeight="false" outlineLevel="0" collapsed="false">
      <c r="A293" s="4"/>
      <c r="B293" s="4" t="s">
        <v>559</v>
      </c>
      <c r="C293" s="11" t="s">
        <v>3</v>
      </c>
      <c r="D293" s="4" t="s">
        <v>560</v>
      </c>
      <c r="E293" s="12" t="s">
        <v>21</v>
      </c>
    </row>
    <row r="294" customFormat="false" ht="23.85" hidden="false" customHeight="false" outlineLevel="0" collapsed="false">
      <c r="A294" s="4"/>
      <c r="B294" s="4" t="s">
        <v>561</v>
      </c>
      <c r="C294" s="13" t="s">
        <v>4</v>
      </c>
      <c r="D294" s="4" t="s">
        <v>562</v>
      </c>
      <c r="E294" s="12" t="s">
        <v>21</v>
      </c>
    </row>
    <row r="295" customFormat="false" ht="23.85" hidden="false" customHeight="false" outlineLevel="0" collapsed="false">
      <c r="A295" s="4"/>
      <c r="B295" s="4" t="s">
        <v>563</v>
      </c>
      <c r="C295" s="11" t="s">
        <v>3</v>
      </c>
      <c r="D295" s="4" t="s">
        <v>564</v>
      </c>
      <c r="E295" s="12" t="s">
        <v>21</v>
      </c>
    </row>
    <row r="296" customFormat="false" ht="15" hidden="false" customHeight="false" outlineLevel="0" collapsed="false">
      <c r="A296" s="4"/>
      <c r="B296" s="4" t="s">
        <v>565</v>
      </c>
      <c r="C296" s="11" t="s">
        <v>3</v>
      </c>
      <c r="D296" s="4" t="s">
        <v>566</v>
      </c>
      <c r="E296" s="12" t="s">
        <v>21</v>
      </c>
    </row>
    <row r="297" customFormat="false" ht="35.05" hidden="false" customHeight="false" outlineLevel="0" collapsed="false">
      <c r="A297" s="4"/>
      <c r="B297" s="4" t="s">
        <v>567</v>
      </c>
      <c r="C297" s="11" t="s">
        <v>3</v>
      </c>
      <c r="D297" s="4" t="s">
        <v>568</v>
      </c>
      <c r="E297" s="12" t="s">
        <v>21</v>
      </c>
    </row>
    <row r="298" customFormat="false" ht="35.05" hidden="false" customHeight="false" outlineLevel="0" collapsed="false">
      <c r="A298" s="4"/>
      <c r="B298" s="4" t="s">
        <v>569</v>
      </c>
      <c r="C298" s="11" t="s">
        <v>3</v>
      </c>
      <c r="D298" s="4" t="s">
        <v>570</v>
      </c>
      <c r="E298" s="12" t="s">
        <v>21</v>
      </c>
    </row>
    <row r="299" customFormat="false" ht="57.45" hidden="false" customHeight="false" outlineLevel="0" collapsed="false">
      <c r="A299" s="4"/>
      <c r="B299" s="4" t="s">
        <v>571</v>
      </c>
      <c r="C299" s="13" t="s">
        <v>4</v>
      </c>
      <c r="D299" s="4" t="s">
        <v>572</v>
      </c>
      <c r="E299" s="12" t="s">
        <v>21</v>
      </c>
    </row>
    <row r="300" customFormat="false" ht="23.85" hidden="false" customHeight="false" outlineLevel="0" collapsed="false">
      <c r="A300" s="4"/>
      <c r="B300" s="4" t="s">
        <v>573</v>
      </c>
      <c r="C300" s="11" t="s">
        <v>3</v>
      </c>
      <c r="D300" s="4" t="s">
        <v>574</v>
      </c>
      <c r="E300" s="12" t="s">
        <v>21</v>
      </c>
    </row>
    <row r="301" customFormat="false" ht="46.25" hidden="false" customHeight="false" outlineLevel="0" collapsed="false">
      <c r="A301" s="4"/>
      <c r="B301" s="4" t="s">
        <v>575</v>
      </c>
      <c r="C301" s="11" t="s">
        <v>3</v>
      </c>
      <c r="D301" s="4" t="s">
        <v>576</v>
      </c>
      <c r="E301" s="12" t="s">
        <v>21</v>
      </c>
    </row>
    <row r="302" customFormat="false" ht="35.05" hidden="false" customHeight="false" outlineLevel="0" collapsed="false">
      <c r="A302" s="4"/>
      <c r="B302" s="4" t="s">
        <v>577</v>
      </c>
      <c r="C302" s="11" t="s">
        <v>3</v>
      </c>
      <c r="D302" s="4" t="s">
        <v>578</v>
      </c>
      <c r="E302" s="12" t="s">
        <v>21</v>
      </c>
    </row>
    <row r="303" customFormat="false" ht="102.2" hidden="false" customHeight="false" outlineLevel="0" collapsed="false">
      <c r="A303" s="4"/>
      <c r="B303" s="4" t="s">
        <v>579</v>
      </c>
      <c r="C303" s="11" t="s">
        <v>3</v>
      </c>
      <c r="D303" s="4" t="s">
        <v>580</v>
      </c>
      <c r="E303" s="12" t="s">
        <v>21</v>
      </c>
    </row>
    <row r="304" customFormat="false" ht="35.05" hidden="false" customHeight="false" outlineLevel="0" collapsed="false">
      <c r="A304" s="4"/>
      <c r="B304" s="4" t="s">
        <v>581</v>
      </c>
      <c r="C304" s="11" t="s">
        <v>3</v>
      </c>
      <c r="D304" s="4" t="s">
        <v>582</v>
      </c>
      <c r="E304" s="12" t="s">
        <v>21</v>
      </c>
    </row>
    <row r="305" customFormat="false" ht="57.45" hidden="false" customHeight="false" outlineLevel="0" collapsed="false">
      <c r="A305" s="4"/>
      <c r="B305" s="4" t="s">
        <v>583</v>
      </c>
      <c r="C305" s="11" t="s">
        <v>3</v>
      </c>
      <c r="D305" s="4" t="s">
        <v>584</v>
      </c>
      <c r="E305" s="12" t="s">
        <v>21</v>
      </c>
    </row>
    <row r="306" customFormat="false" ht="23.85" hidden="false" customHeight="false" outlineLevel="0" collapsed="false">
      <c r="A306" s="4"/>
      <c r="B306" s="4" t="s">
        <v>585</v>
      </c>
      <c r="C306" s="11" t="s">
        <v>3</v>
      </c>
      <c r="D306" s="4" t="s">
        <v>586</v>
      </c>
      <c r="E306" s="12" t="s">
        <v>21</v>
      </c>
    </row>
    <row r="307" customFormat="false" ht="23.85" hidden="false" customHeight="false" outlineLevel="0" collapsed="false">
      <c r="A307" s="4"/>
      <c r="B307" s="4" t="s">
        <v>587</v>
      </c>
      <c r="C307" s="11" t="s">
        <v>3</v>
      </c>
      <c r="D307" s="4" t="s">
        <v>588</v>
      </c>
      <c r="E307" s="12" t="s">
        <v>21</v>
      </c>
    </row>
    <row r="308" customFormat="false" ht="23.85" hidden="false" customHeight="false" outlineLevel="0" collapsed="false">
      <c r="A308" s="4"/>
      <c r="B308" s="4" t="s">
        <v>589</v>
      </c>
      <c r="C308" s="13" t="s">
        <v>4</v>
      </c>
      <c r="D308" s="4" t="s">
        <v>590</v>
      </c>
      <c r="E308" s="12" t="s">
        <v>21</v>
      </c>
    </row>
    <row r="309" customFormat="false" ht="15" hidden="false" customHeight="false" outlineLevel="0" collapsed="false">
      <c r="A309" s="4"/>
      <c r="B309" s="4" t="s">
        <v>591</v>
      </c>
      <c r="C309" s="11" t="s">
        <v>3</v>
      </c>
      <c r="D309" s="4" t="s">
        <v>592</v>
      </c>
      <c r="E309" s="12" t="s">
        <v>21</v>
      </c>
    </row>
    <row r="310" customFormat="false" ht="57.45" hidden="false" customHeight="false" outlineLevel="0" collapsed="false">
      <c r="A310" s="4"/>
      <c r="B310" s="4" t="s">
        <v>593</v>
      </c>
      <c r="C310" s="11" t="s">
        <v>3</v>
      </c>
      <c r="D310" s="4" t="s">
        <v>594</v>
      </c>
      <c r="E310" s="12" t="s">
        <v>21</v>
      </c>
    </row>
    <row r="311" customFormat="false" ht="15" hidden="false" customHeight="true" outlineLevel="0" collapsed="false">
      <c r="A311" s="10" t="s">
        <v>22</v>
      </c>
      <c r="B311" s="10"/>
      <c r="C311" s="10"/>
      <c r="D311" s="10"/>
    </row>
    <row r="312" customFormat="false" ht="102.2" hidden="false" customHeight="false" outlineLevel="0" collapsed="false">
      <c r="A312" s="4"/>
      <c r="B312" s="4" t="s">
        <v>595</v>
      </c>
      <c r="C312" s="13" t="s">
        <v>4</v>
      </c>
      <c r="D312" s="4" t="s">
        <v>596</v>
      </c>
      <c r="E312" s="12" t="s">
        <v>22</v>
      </c>
    </row>
    <row r="313" customFormat="false" ht="158.2" hidden="false" customHeight="false" outlineLevel="0" collapsed="false">
      <c r="A313" s="4"/>
      <c r="B313" s="4" t="s">
        <v>597</v>
      </c>
      <c r="C313" s="13" t="s">
        <v>4</v>
      </c>
      <c r="D313" s="4" t="s">
        <v>598</v>
      </c>
      <c r="E313" s="12" t="s">
        <v>22</v>
      </c>
    </row>
    <row r="314" customFormat="false" ht="91" hidden="false" customHeight="false" outlineLevel="0" collapsed="false">
      <c r="A314" s="4"/>
      <c r="B314" s="4" t="s">
        <v>599</v>
      </c>
      <c r="C314" s="13" t="s">
        <v>4</v>
      </c>
      <c r="D314" s="4" t="s">
        <v>600</v>
      </c>
      <c r="E314" s="12" t="s">
        <v>22</v>
      </c>
    </row>
    <row r="315" customFormat="false" ht="57.45" hidden="false" customHeight="false" outlineLevel="0" collapsed="false">
      <c r="A315" s="4"/>
      <c r="B315" s="4" t="s">
        <v>601</v>
      </c>
      <c r="C315" s="13" t="s">
        <v>4</v>
      </c>
      <c r="D315" s="4" t="s">
        <v>602</v>
      </c>
      <c r="E315" s="12" t="s">
        <v>22</v>
      </c>
    </row>
    <row r="316" customFormat="false" ht="23.85" hidden="false" customHeight="false" outlineLevel="0" collapsed="false">
      <c r="A316" s="4"/>
      <c r="B316" s="4" t="s">
        <v>603</v>
      </c>
      <c r="C316" s="13" t="s">
        <v>4</v>
      </c>
      <c r="D316" s="4" t="s">
        <v>604</v>
      </c>
      <c r="E316" s="12" t="s">
        <v>22</v>
      </c>
    </row>
    <row r="317" customFormat="false" ht="23.85" hidden="false" customHeight="false" outlineLevel="0" collapsed="false">
      <c r="A317" s="4"/>
      <c r="B317" s="4" t="s">
        <v>605</v>
      </c>
      <c r="C317" s="13" t="s">
        <v>4</v>
      </c>
      <c r="D317" s="4"/>
      <c r="E317" s="12" t="s">
        <v>22</v>
      </c>
    </row>
    <row r="318" customFormat="false" ht="23.85" hidden="false" customHeight="false" outlineLevel="0" collapsed="false">
      <c r="A318" s="4"/>
      <c r="B318" s="4" t="s">
        <v>606</v>
      </c>
      <c r="C318" s="13" t="s">
        <v>4</v>
      </c>
      <c r="D318" s="4"/>
      <c r="E318" s="12" t="s">
        <v>22</v>
      </c>
    </row>
  </sheetData>
  <autoFilter ref="A1:D318"/>
  <mergeCells count="14">
    <mergeCell ref="A2:D2"/>
    <mergeCell ref="A15:D15"/>
    <mergeCell ref="A32:D32"/>
    <mergeCell ref="A43:D43"/>
    <mergeCell ref="A58:D58"/>
    <mergeCell ref="A123:D123"/>
    <mergeCell ref="A150:D150"/>
    <mergeCell ref="A183:D183"/>
    <mergeCell ref="A205:D205"/>
    <mergeCell ref="A209:D209"/>
    <mergeCell ref="A237:D237"/>
    <mergeCell ref="A256:D256"/>
    <mergeCell ref="A291:D291"/>
    <mergeCell ref="A311:D3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3" min="3" style="0" width="12"/>
    <col collapsed="false" customWidth="true" hidden="false" outlineLevel="0" max="4" min="4" style="0" width="100"/>
    <col collapsed="false" customWidth="true" hidden="true" outlineLevel="0" max="5" min="5" style="0" width="13"/>
  </cols>
  <sheetData>
    <row r="1" customFormat="false" ht="64.9" hidden="false" customHeight="false" outlineLevel="0" collapsed="false">
      <c r="A1" s="3" t="s">
        <v>2</v>
      </c>
      <c r="B1" s="3" t="s">
        <v>24</v>
      </c>
      <c r="C1" s="3" t="s">
        <v>25</v>
      </c>
      <c r="D1" s="3" t="s">
        <v>607</v>
      </c>
      <c r="E1" s="3" t="s">
        <v>27</v>
      </c>
    </row>
    <row r="2" customFormat="false" ht="15" hidden="false" customHeight="true" outlineLevel="0" collapsed="false">
      <c r="A2" s="10" t="s">
        <v>10</v>
      </c>
      <c r="B2" s="10"/>
      <c r="C2" s="10"/>
      <c r="D2" s="10"/>
    </row>
    <row r="3" customFormat="false" ht="35.05" hidden="false" customHeight="false" outlineLevel="0" collapsed="false">
      <c r="A3" s="4"/>
      <c r="B3" s="4" t="s">
        <v>86</v>
      </c>
      <c r="C3" s="13" t="s">
        <v>4</v>
      </c>
      <c r="D3" s="4" t="s">
        <v>87</v>
      </c>
      <c r="E3" s="12" t="s">
        <v>10</v>
      </c>
    </row>
    <row r="4" customFormat="false" ht="79.85" hidden="false" customHeight="false" outlineLevel="0" collapsed="false">
      <c r="A4" s="4"/>
      <c r="B4" s="4" t="s">
        <v>88</v>
      </c>
      <c r="C4" s="13" t="s">
        <v>4</v>
      </c>
      <c r="D4" s="4" t="s">
        <v>89</v>
      </c>
      <c r="E4" s="12" t="s">
        <v>10</v>
      </c>
    </row>
    <row r="5" customFormat="false" ht="15" hidden="false" customHeight="true" outlineLevel="0" collapsed="false">
      <c r="A5" s="10" t="s">
        <v>12</v>
      </c>
      <c r="B5" s="10"/>
      <c r="C5" s="10"/>
      <c r="D5" s="10"/>
    </row>
    <row r="6" customFormat="false" ht="23.85" hidden="false" customHeight="false" outlineLevel="0" collapsed="false">
      <c r="A6" s="4"/>
      <c r="B6" s="4" t="s">
        <v>233</v>
      </c>
      <c r="C6" s="14" t="s">
        <v>5</v>
      </c>
      <c r="D6" s="4" t="s">
        <v>234</v>
      </c>
      <c r="E6" s="12" t="s">
        <v>12</v>
      </c>
    </row>
    <row r="7" customFormat="false" ht="15" hidden="false" customHeight="true" outlineLevel="0" collapsed="false">
      <c r="A7" s="10" t="s">
        <v>19</v>
      </c>
      <c r="B7" s="10"/>
      <c r="C7" s="10"/>
      <c r="D7" s="10"/>
    </row>
    <row r="8" customFormat="false" ht="57.45" hidden="false" customHeight="false" outlineLevel="0" collapsed="false">
      <c r="A8" s="4"/>
      <c r="B8" s="4" t="s">
        <v>471</v>
      </c>
      <c r="C8" s="13" t="s">
        <v>4</v>
      </c>
      <c r="D8" s="4" t="s">
        <v>472</v>
      </c>
      <c r="E8" s="12" t="s">
        <v>19</v>
      </c>
    </row>
    <row r="9" customFormat="false" ht="23.85" hidden="false" customHeight="false" outlineLevel="0" collapsed="false">
      <c r="A9" s="4"/>
      <c r="B9" s="4" t="s">
        <v>473</v>
      </c>
      <c r="C9" s="13" t="s">
        <v>4</v>
      </c>
      <c r="D9" s="4"/>
      <c r="E9" s="12" t="s">
        <v>19</v>
      </c>
    </row>
    <row r="10" customFormat="false" ht="46.25" hidden="false" customHeight="false" outlineLevel="0" collapsed="false">
      <c r="A10" s="4"/>
      <c r="B10" s="4" t="s">
        <v>488</v>
      </c>
      <c r="C10" s="13" t="s">
        <v>4</v>
      </c>
      <c r="D10" s="4" t="s">
        <v>489</v>
      </c>
      <c r="E10" s="12" t="s">
        <v>19</v>
      </c>
    </row>
    <row r="11" customFormat="false" ht="15" hidden="false" customHeight="true" outlineLevel="0" collapsed="false">
      <c r="A11" s="10" t="s">
        <v>20</v>
      </c>
      <c r="B11" s="10"/>
      <c r="C11" s="10"/>
      <c r="D11" s="10"/>
    </row>
    <row r="12" customFormat="false" ht="23.85" hidden="false" customHeight="false" outlineLevel="0" collapsed="false">
      <c r="A12" s="4"/>
      <c r="B12" s="4" t="s">
        <v>510</v>
      </c>
      <c r="C12" s="13" t="s">
        <v>4</v>
      </c>
      <c r="D12" s="4" t="s">
        <v>511</v>
      </c>
      <c r="E12" s="12" t="s">
        <v>20</v>
      </c>
    </row>
    <row r="13" customFormat="false" ht="15" hidden="false" customHeight="false" outlineLevel="0" collapsed="false">
      <c r="A13" s="4"/>
      <c r="B13" s="4" t="s">
        <v>512</v>
      </c>
      <c r="C13" s="13" t="s">
        <v>4</v>
      </c>
      <c r="D13" s="4" t="s">
        <v>513</v>
      </c>
      <c r="E13" s="12" t="s">
        <v>20</v>
      </c>
    </row>
    <row r="14" customFormat="false" ht="23.85" hidden="false" customHeight="false" outlineLevel="0" collapsed="false">
      <c r="A14" s="4"/>
      <c r="B14" s="4" t="s">
        <v>528</v>
      </c>
      <c r="C14" s="13" t="s">
        <v>4</v>
      </c>
      <c r="D14" s="4" t="s">
        <v>529</v>
      </c>
      <c r="E14" s="12" t="s">
        <v>20</v>
      </c>
    </row>
    <row r="15" customFormat="false" ht="23.85" hidden="false" customHeight="false" outlineLevel="0" collapsed="false">
      <c r="A15" s="4"/>
      <c r="B15" s="4" t="s">
        <v>530</v>
      </c>
      <c r="C15" s="13" t="s">
        <v>4</v>
      </c>
      <c r="D15" s="4" t="s">
        <v>531</v>
      </c>
      <c r="E15" s="12" t="s">
        <v>20</v>
      </c>
    </row>
    <row r="16" customFormat="false" ht="135.8" hidden="false" customHeight="false" outlineLevel="0" collapsed="false">
      <c r="A16" s="4"/>
      <c r="B16" s="4" t="s">
        <v>532</v>
      </c>
      <c r="C16" s="14" t="s">
        <v>5</v>
      </c>
      <c r="D16" s="4" t="s">
        <v>533</v>
      </c>
      <c r="E16" s="12" t="s">
        <v>20</v>
      </c>
    </row>
    <row r="17" customFormat="false" ht="147" hidden="false" customHeight="false" outlineLevel="0" collapsed="false">
      <c r="A17" s="4"/>
      <c r="B17" s="4" t="s">
        <v>534</v>
      </c>
      <c r="C17" s="13" t="s">
        <v>4</v>
      </c>
      <c r="D17" s="4" t="s">
        <v>535</v>
      </c>
      <c r="E17" s="12" t="s">
        <v>20</v>
      </c>
    </row>
    <row r="18" customFormat="false" ht="68.65" hidden="false" customHeight="false" outlineLevel="0" collapsed="false">
      <c r="A18" s="4"/>
      <c r="B18" s="4" t="s">
        <v>538</v>
      </c>
      <c r="C18" s="13" t="s">
        <v>4</v>
      </c>
      <c r="D18" s="4" t="s">
        <v>539</v>
      </c>
      <c r="E18" s="12" t="s">
        <v>20</v>
      </c>
    </row>
    <row r="19" customFormat="false" ht="23.85" hidden="false" customHeight="false" outlineLevel="0" collapsed="false">
      <c r="A19" s="4"/>
      <c r="B19" s="4" t="s">
        <v>540</v>
      </c>
      <c r="C19" s="13" t="s">
        <v>4</v>
      </c>
      <c r="D19" s="4"/>
      <c r="E19" s="12" t="s">
        <v>20</v>
      </c>
    </row>
    <row r="20" customFormat="false" ht="79.85" hidden="false" customHeight="false" outlineLevel="0" collapsed="false">
      <c r="A20" s="4"/>
      <c r="B20" s="4" t="s">
        <v>555</v>
      </c>
      <c r="C20" s="13" t="s">
        <v>4</v>
      </c>
      <c r="D20" s="4" t="s">
        <v>556</v>
      </c>
      <c r="E20" s="12" t="s">
        <v>20</v>
      </c>
    </row>
    <row r="21" customFormat="false" ht="15" hidden="false" customHeight="true" outlineLevel="0" collapsed="false">
      <c r="A21" s="10" t="s">
        <v>21</v>
      </c>
      <c r="B21" s="10"/>
      <c r="C21" s="10"/>
      <c r="D21" s="10"/>
    </row>
    <row r="22" customFormat="false" ht="23.85" hidden="false" customHeight="false" outlineLevel="0" collapsed="false">
      <c r="A22" s="4"/>
      <c r="B22" s="4" t="s">
        <v>561</v>
      </c>
      <c r="C22" s="13" t="s">
        <v>4</v>
      </c>
      <c r="D22" s="4" t="s">
        <v>562</v>
      </c>
      <c r="E22" s="12" t="s">
        <v>21</v>
      </c>
    </row>
    <row r="23" customFormat="false" ht="46.25" hidden="false" customHeight="false" outlineLevel="0" collapsed="false">
      <c r="A23" s="4"/>
      <c r="B23" s="4" t="s">
        <v>571</v>
      </c>
      <c r="C23" s="13" t="s">
        <v>4</v>
      </c>
      <c r="D23" s="4" t="s">
        <v>572</v>
      </c>
      <c r="E23" s="12" t="s">
        <v>21</v>
      </c>
    </row>
    <row r="24" customFormat="false" ht="23.85" hidden="false" customHeight="false" outlineLevel="0" collapsed="false">
      <c r="A24" s="4"/>
      <c r="B24" s="4" t="s">
        <v>589</v>
      </c>
      <c r="C24" s="13" t="s">
        <v>4</v>
      </c>
      <c r="D24" s="4" t="s">
        <v>590</v>
      </c>
      <c r="E24" s="12" t="s">
        <v>21</v>
      </c>
    </row>
    <row r="25" customFormat="false" ht="15" hidden="false" customHeight="true" outlineLevel="0" collapsed="false">
      <c r="A25" s="10" t="s">
        <v>22</v>
      </c>
      <c r="B25" s="10"/>
      <c r="C25" s="10"/>
      <c r="D25" s="10"/>
    </row>
    <row r="26" customFormat="false" ht="102.2" hidden="false" customHeight="false" outlineLevel="0" collapsed="false">
      <c r="A26" s="4"/>
      <c r="B26" s="4" t="s">
        <v>595</v>
      </c>
      <c r="C26" s="13" t="s">
        <v>4</v>
      </c>
      <c r="D26" s="4" t="s">
        <v>596</v>
      </c>
      <c r="E26" s="12" t="s">
        <v>22</v>
      </c>
    </row>
    <row r="27" customFormat="false" ht="147" hidden="false" customHeight="false" outlineLevel="0" collapsed="false">
      <c r="A27" s="4"/>
      <c r="B27" s="4" t="s">
        <v>597</v>
      </c>
      <c r="C27" s="13" t="s">
        <v>4</v>
      </c>
      <c r="D27" s="4" t="s">
        <v>598</v>
      </c>
      <c r="E27" s="12" t="s">
        <v>22</v>
      </c>
    </row>
    <row r="28" customFormat="false" ht="79.85" hidden="false" customHeight="false" outlineLevel="0" collapsed="false">
      <c r="A28" s="4"/>
      <c r="B28" s="4" t="s">
        <v>599</v>
      </c>
      <c r="C28" s="13" t="s">
        <v>4</v>
      </c>
      <c r="D28" s="4" t="s">
        <v>600</v>
      </c>
      <c r="E28" s="12" t="s">
        <v>22</v>
      </c>
    </row>
    <row r="29" customFormat="false" ht="57.45" hidden="false" customHeight="false" outlineLevel="0" collapsed="false">
      <c r="A29" s="4"/>
      <c r="B29" s="4" t="s">
        <v>601</v>
      </c>
      <c r="C29" s="13" t="s">
        <v>4</v>
      </c>
      <c r="D29" s="4" t="s">
        <v>602</v>
      </c>
      <c r="E29" s="12" t="s">
        <v>22</v>
      </c>
    </row>
    <row r="30" customFormat="false" ht="23.85" hidden="false" customHeight="false" outlineLevel="0" collapsed="false">
      <c r="A30" s="4"/>
      <c r="B30" s="4" t="s">
        <v>603</v>
      </c>
      <c r="C30" s="13" t="s">
        <v>4</v>
      </c>
      <c r="D30" s="4" t="s">
        <v>604</v>
      </c>
      <c r="E30" s="12" t="s">
        <v>22</v>
      </c>
    </row>
    <row r="31" customFormat="false" ht="23.85" hidden="false" customHeight="false" outlineLevel="0" collapsed="false">
      <c r="A31" s="4"/>
      <c r="B31" s="4" t="s">
        <v>605</v>
      </c>
      <c r="C31" s="13" t="s">
        <v>4</v>
      </c>
      <c r="D31" s="4"/>
      <c r="E31" s="12" t="s">
        <v>22</v>
      </c>
    </row>
    <row r="32" customFormat="false" ht="23.85" hidden="false" customHeight="false" outlineLevel="0" collapsed="false">
      <c r="A32" s="4"/>
      <c r="B32" s="4" t="s">
        <v>606</v>
      </c>
      <c r="C32" s="13" t="s">
        <v>4</v>
      </c>
      <c r="D32" s="4"/>
      <c r="E32" s="12" t="s">
        <v>22</v>
      </c>
    </row>
  </sheetData>
  <autoFilter ref="A1:D32"/>
  <mergeCells count="6">
    <mergeCell ref="A2:D2"/>
    <mergeCell ref="A5:D5"/>
    <mergeCell ref="A7:D7"/>
    <mergeCell ref="A11:D11"/>
    <mergeCell ref="A21:D21"/>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2026-10-06T21:13:37Z</dcterms:created>
  <dc:creator>openpyxl</dc:creator>
  <dc:description/>
  <dc:language>en-IN</dc:language>
  <cp:lastModifiedBy/>
  <dcterms:modified xsi:type="dcterms:W3CDTF">2026-10-06T21:13:37Z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