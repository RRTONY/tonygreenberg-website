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Detail'!$A$1:$D$343</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2026-10-14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Detail'!$E$2:$E$343,$A5,'Full Detail'!$C$2:$C$343,"Done")</f>
        <v/>
      </c>
      <c r="C5" s="5">
        <f>COUNTIFS('Full Detail'!$E$2:$E$343,$A5,'Full Detail'!$C$2:$C$343,"Remaining")</f>
        <v/>
      </c>
      <c r="D5" s="5">
        <f>COUNTIFS('Full Detail'!$E$2:$E$343,$A5,'Full Detail'!$C$2:$C$343,"Deferred")</f>
        <v/>
      </c>
      <c r="E5" s="5">
        <f>SUM(B5:D5)</f>
        <v/>
      </c>
      <c r="F5" s="6">
        <f>IF(E5=0,0,B5/E5)</f>
        <v/>
      </c>
    </row>
    <row r="6">
      <c r="A6" s="4" t="inlineStr">
        <is>
          <t>Phase 1 — Sanity Studio &amp; Schema</t>
        </is>
      </c>
      <c r="B6" s="5">
        <f>COUNTIFS('Full Detail'!$E$2:$E$343,$A6,'Full Detail'!$C$2:$C$343,"Done")</f>
        <v/>
      </c>
      <c r="C6" s="5">
        <f>COUNTIFS('Full Detail'!$E$2:$E$343,$A6,'Full Detail'!$C$2:$C$343,"Remaining")</f>
        <v/>
      </c>
      <c r="D6" s="5">
        <f>COUNTIFS('Full Detail'!$E$2:$E$343,$A6,'Full Detail'!$C$2:$C$343,"Deferred")</f>
        <v/>
      </c>
      <c r="E6" s="5">
        <f>SUM(B6:D6)</f>
        <v/>
      </c>
      <c r="F6" s="6">
        <f>IF(E6=0,0,B6/E6)</f>
        <v/>
      </c>
    </row>
    <row r="7">
      <c r="A7" s="4" t="inlineStr">
        <is>
          <t>Phase 2 — Supabase</t>
        </is>
      </c>
      <c r="B7" s="5">
        <f>COUNTIFS('Full Detail'!$E$2:$E$343,$A7,'Full Detail'!$C$2:$C$343,"Done")</f>
        <v/>
      </c>
      <c r="C7" s="5">
        <f>COUNTIFS('Full Detail'!$E$2:$E$343,$A7,'Full Detail'!$C$2:$C$343,"Remaining")</f>
        <v/>
      </c>
      <c r="D7" s="5">
        <f>COUNTIFS('Full Detail'!$E$2:$E$343,$A7,'Full Detail'!$C$2:$C$343,"Deferred")</f>
        <v/>
      </c>
      <c r="E7" s="5">
        <f>SUM(B7:D7)</f>
        <v/>
      </c>
      <c r="F7" s="6">
        <f>IF(E7=0,0,B7/E7)</f>
        <v/>
      </c>
    </row>
    <row r="8">
      <c r="A8" s="4" t="inlineStr">
        <is>
          <t>Phase 3 — Shared Layout &amp; Design System</t>
        </is>
      </c>
      <c r="B8" s="5">
        <f>COUNTIFS('Full Detail'!$E$2:$E$343,$A8,'Full Detail'!$C$2:$C$343,"Done")</f>
        <v/>
      </c>
      <c r="C8" s="5">
        <f>COUNTIFS('Full Detail'!$E$2:$E$343,$A8,'Full Detail'!$C$2:$C$343,"Remaining")</f>
        <v/>
      </c>
      <c r="D8" s="5">
        <f>COUNTIFS('Full Detail'!$E$2:$E$343,$A8,'Full Detail'!$C$2:$C$343,"Deferred")</f>
        <v/>
      </c>
      <c r="E8" s="5">
        <f>SUM(B8:D8)</f>
        <v/>
      </c>
      <c r="F8" s="6">
        <f>IF(E8=0,0,B8/E8)</f>
        <v/>
      </c>
    </row>
    <row r="9">
      <c r="A9" s="4" t="inlineStr">
        <is>
          <t>Phase 4 — Marketing Core Pages (30 routes)</t>
        </is>
      </c>
      <c r="B9" s="5">
        <f>COUNTIFS('Full Detail'!$E$2:$E$343,$A9,'Full Detail'!$C$2:$C$343,"Done")</f>
        <v/>
      </c>
      <c r="C9" s="5">
        <f>COUNTIFS('Full Detail'!$E$2:$E$343,$A9,'Full Detail'!$C$2:$C$343,"Remaining")</f>
        <v/>
      </c>
      <c r="D9" s="5">
        <f>COUNTIFS('Full Detail'!$E$2:$E$343,$A9,'Full Detail'!$C$2:$C$343,"Deferred")</f>
        <v/>
      </c>
      <c r="E9" s="5">
        <f>SUM(B9:D9)</f>
        <v/>
      </c>
      <c r="F9" s="6">
        <f>IF(E9=0,0,B9/E9)</f>
        <v/>
      </c>
    </row>
    <row r="10">
      <c r="A10" s="4" t="inlineStr">
        <is>
          <t>Phase 5 — Blog Engine (Sanity-backed)</t>
        </is>
      </c>
      <c r="B10" s="5">
        <f>COUNTIFS('Full Detail'!$E$2:$E$343,$A10,'Full Detail'!$C$2:$C$343,"Done")</f>
        <v/>
      </c>
      <c r="C10" s="5">
        <f>COUNTIFS('Full Detail'!$E$2:$E$343,$A10,'Full Detail'!$C$2:$C$343,"Remaining")</f>
        <v/>
      </c>
      <c r="D10" s="5">
        <f>COUNTIFS('Full Detail'!$E$2:$E$343,$A10,'Full Detail'!$C$2:$C$343,"Deferred")</f>
        <v/>
      </c>
      <c r="E10" s="5">
        <f>SUM(B10:D10)</f>
        <v/>
      </c>
      <c r="F10" s="6">
        <f>IF(E10=0,0,B10/E10)</f>
        <v/>
      </c>
    </row>
    <row r="11">
      <c r="A11" s="4" t="inlineStr">
        <is>
          <t>Phase 6 — BrewSoul (28 routes)</t>
        </is>
      </c>
      <c r="B11" s="5">
        <f>COUNTIFS('Full Detail'!$E$2:$E$343,$A11,'Full Detail'!$C$2:$C$343,"Done")</f>
        <v/>
      </c>
      <c r="C11" s="5">
        <f>COUNTIFS('Full Detail'!$E$2:$E$343,$A11,'Full Detail'!$C$2:$C$343,"Remaining")</f>
        <v/>
      </c>
      <c r="D11" s="5">
        <f>COUNTIFS('Full Detail'!$E$2:$E$343,$A11,'Full Detail'!$C$2:$C$343,"Deferred")</f>
        <v/>
      </c>
      <c r="E11" s="5">
        <f>SUM(B11:D11)</f>
        <v/>
      </c>
      <c r="F11" s="6">
        <f>IF(E11=0,0,B11/E11)</f>
        <v/>
      </c>
    </row>
    <row r="12">
      <c r="A12" s="4" t="inlineStr">
        <is>
          <t>Phase 7 — PRI &amp; Kava Encyclopedias (19 routes)</t>
        </is>
      </c>
      <c r="B12" s="5">
        <f>COUNTIFS('Full Detail'!$E$2:$E$343,$A12,'Full Detail'!$C$2:$C$343,"Done")</f>
        <v/>
      </c>
      <c r="C12" s="5">
        <f>COUNTIFS('Full Detail'!$E$2:$E$343,$A12,'Full Detail'!$C$2:$C$343,"Remaining")</f>
        <v/>
      </c>
      <c r="D12" s="5">
        <f>COUNTIFS('Full Detail'!$E$2:$E$343,$A12,'Full Detail'!$C$2:$C$343,"Deferred")</f>
        <v/>
      </c>
      <c r="E12" s="5">
        <f>SUM(B12:D12)</f>
        <v/>
      </c>
      <c r="F12" s="6">
        <f>IF(E12=0,0,B12/E12)</f>
        <v/>
      </c>
    </row>
    <row r="13">
      <c r="A13" s="4" t="inlineStr">
        <is>
          <t>Phase 8 — Attention Theft Manifesto (7 routes)</t>
        </is>
      </c>
      <c r="B13" s="5">
        <f>COUNTIFS('Full Detail'!$E$2:$E$343,$A13,'Full Detail'!$C$2:$C$343,"Done")</f>
        <v/>
      </c>
      <c r="C13" s="5">
        <f>COUNTIFS('Full Detail'!$E$2:$E$343,$A13,'Full Detail'!$C$2:$C$343,"Remaining")</f>
        <v/>
      </c>
      <c r="D13" s="5">
        <f>COUNTIFS('Full Detail'!$E$2:$E$343,$A13,'Full Detail'!$C$2:$C$343,"Deferred")</f>
        <v/>
      </c>
      <c r="E13" s="5">
        <f>SUM(B13:D13)</f>
        <v/>
      </c>
      <c r="F13" s="6">
        <f>IF(E13=0,0,B13/E13)</f>
        <v/>
      </c>
    </row>
    <row r="14">
      <c r="A14" s="4" t="inlineStr">
        <is>
          <t>Phase 9 — Assessments (33 routes)</t>
        </is>
      </c>
      <c r="B14" s="5">
        <f>COUNTIFS('Full Detail'!$E$2:$E$343,$A14,'Full Detail'!$C$2:$C$343,"Done")</f>
        <v/>
      </c>
      <c r="C14" s="5">
        <f>COUNTIFS('Full Detail'!$E$2:$E$343,$A14,'Full Detail'!$C$2:$C$343,"Remaining")</f>
        <v/>
      </c>
      <c r="D14" s="5">
        <f>COUNTIFS('Full Detail'!$E$2:$E$343,$A14,'Full Detail'!$C$2:$C$343,"Deferred")</f>
        <v/>
      </c>
      <c r="E14" s="5">
        <f>SUM(B14:D14)</f>
        <v/>
      </c>
      <c r="F14" s="6">
        <f>IF(E14=0,0,B14/E14)</f>
        <v/>
      </c>
    </row>
    <row r="15">
      <c r="A15" s="4" t="inlineStr">
        <is>
          <t>Phase 10 — FauxTony Chatbot — CANCELLED (2026-09-10)</t>
        </is>
      </c>
      <c r="B15" s="5">
        <f>COUNTIFS('Full Detail'!$E$2:$E$343,$A15,'Full Detail'!$C$2:$C$343,"Done")</f>
        <v/>
      </c>
      <c r="C15" s="5">
        <f>COUNTIFS('Full Detail'!$E$2:$E$343,$A15,'Full Detail'!$C$2:$C$343,"Remaining")</f>
        <v/>
      </c>
      <c r="D15" s="5">
        <f>COUNTIFS('Full Detail'!$E$2:$E$343,$A15,'Full Detail'!$C$2:$C$343,"Deferred")</f>
        <v/>
      </c>
      <c r="E15" s="5">
        <f>SUM(B15:D15)</f>
        <v/>
      </c>
      <c r="F15" s="6">
        <f>IF(E15=0,0,B15/E15)</f>
        <v/>
      </c>
    </row>
    <row r="16">
      <c r="A16" s="4" t="inlineStr">
        <is>
          <t>Phase 11 — Code MCP Server — REBUILT (2026-09-29)</t>
        </is>
      </c>
      <c r="B16" s="5">
        <f>COUNTIFS('Full Detail'!$E$2:$E$343,$A16,'Full Detail'!$C$2:$C$343,"Done")</f>
        <v/>
      </c>
      <c r="C16" s="5">
        <f>COUNTIFS('Full Detail'!$E$2:$E$343,$A16,'Full Detail'!$C$2:$C$343,"Remaining")</f>
        <v/>
      </c>
      <c r="D16" s="5">
        <f>COUNTIFS('Full Detail'!$E$2:$E$343,$A16,'Full Detail'!$C$2:$C$343,"Deferred")</f>
        <v/>
      </c>
      <c r="E16" s="5">
        <f>SUM(B16:D16)</f>
        <v/>
      </c>
      <c r="F16" s="6">
        <f>IF(E16=0,0,B16/E16)</f>
        <v/>
      </c>
    </row>
    <row r="17">
      <c r="A17" s="4" t="inlineStr">
        <is>
          <t>Phase 12 — SEO Hardening, Redirects &amp; Cutover Prep</t>
        </is>
      </c>
      <c r="B17" s="5">
        <f>COUNTIFS('Full Detail'!$E$2:$E$343,$A17,'Full Detail'!$C$2:$C$343,"Done")</f>
        <v/>
      </c>
      <c r="C17" s="5">
        <f>COUNTIFS('Full Detail'!$E$2:$E$343,$A17,'Full Detail'!$C$2:$C$343,"Remaining")</f>
        <v/>
      </c>
      <c r="D17" s="5">
        <f>COUNTIFS('Full Detail'!$E$2:$E$343,$A17,'Full Detail'!$C$2:$C$343,"Deferred")</f>
        <v/>
      </c>
      <c r="E17" s="5">
        <f>SUM(B17:D17)</f>
        <v/>
      </c>
      <c r="F17" s="6">
        <f>IF(E17=0,0,B17/E17)</f>
        <v/>
      </c>
    </row>
    <row r="18">
      <c r="A18" s="4" t="inlineStr">
        <is>
          <t>Phase 13 — Images Needed in Sanity</t>
        </is>
      </c>
      <c r="B18" s="5">
        <f>COUNTIFS('Full Detail'!$E$2:$E$343,$A18,'Full Detail'!$C$2:$C$343,"Done")</f>
        <v/>
      </c>
      <c r="C18" s="5">
        <f>COUNTIFS('Full Detail'!$E$2:$E$343,$A18,'Full Detail'!$C$2:$C$343,"Remaining")</f>
        <v/>
      </c>
      <c r="D18" s="5">
        <f>COUNTIFS('Full Detail'!$E$2:$E$343,$A18,'Full Detail'!$C$2:$C$343,"Deferred")</f>
        <v/>
      </c>
      <c r="E18" s="5">
        <f>SUM(B18:D18)</f>
        <v/>
      </c>
      <c r="F18" s="6">
        <f>IF(E18=0,0,B18/E18)</f>
        <v/>
      </c>
    </row>
    <row r="19">
      <c r="A19" s="4" t="inlineStr">
        <is>
          <t>Phase 14 — QA &amp; Launch</t>
        </is>
      </c>
      <c r="B19" s="5">
        <f>COUNTIFS('Full Detail'!$E$2:$E$343,$A19,'Full Detail'!$C$2:$C$343,"Done")</f>
        <v/>
      </c>
      <c r="C19" s="5">
        <f>COUNTIFS('Full Detail'!$E$2:$E$343,$A19,'Full Detail'!$C$2:$C$343,"Remaining")</f>
        <v/>
      </c>
      <c r="D19" s="5">
        <f>COUNTIFS('Full Detail'!$E$2:$E$343,$A19,'Full Detail'!$C$2:$C$343,"Deferred")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3"/>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3" t="inlineStr">
        <is>
          <t>Done</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6" s="14" t="inlineStr">
        <is>
          <t>Phase 14 — QA &amp; Launch</t>
        </is>
      </c>
    </row>
    <row r="337">
      <c r="A337" s="4" t="n"/>
      <c r="B337" s="4" t="inlineStr">
        <is>
          <t>Final stakeholder sign-off (Tony/Darryl/Kimberly) on the ported site before DNS cutover Given 2026-10-13 by the webmaster (web.master@rampra…</t>
        </is>
      </c>
      <c r="C337" s="13" t="inlineStr">
        <is>
          <t>Done</t>
        </is>
      </c>
      <c r="D337" s="4" t="inlineStr">
        <is>
          <t>te.com) in a Claude Code session, answering "Tony's team sign-off, then turning on Google indexing" with yes. If Tony, Darryl or Kimberly haven't seen the Netlify copy themselves, get their yes before the DNS switch.</t>
        </is>
      </c>
      <c r="E337" s="14" t="inlineStr">
        <is>
          <t>Phase 14 — QA &amp; Launch</t>
        </is>
      </c>
    </row>
    <row r="338">
      <c r="A338" s="4" t="n"/>
      <c r="B338" s="4" t="inlineStr">
        <is>
          <t>Privacy Policy page (/privacy) + footer link</t>
        </is>
      </c>
      <c r="C338" s="13" t="inlineStr">
        <is>
          <t>Done</t>
        </is>
      </c>
      <c r="D338"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38" s="14" t="inlineStr">
        <is>
          <t>Phase 14 — QA &amp; Launch</t>
        </is>
      </c>
    </row>
    <row r="339">
      <c r="A339" s="4" t="n"/>
      <c r="B339" s="4" t="inlineStr">
        <is>
          <t>Terms of Use page (/terms) + footer link</t>
        </is>
      </c>
      <c r="C339" s="13" t="inlineStr">
        <is>
          <t>Done</t>
        </is>
      </c>
      <c r="D339"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39" s="14" t="inlineStr">
        <is>
          <t>Phase 14 — QA &amp; Launch</t>
        </is>
      </c>
    </row>
    <row r="340">
      <c r="A340" s="4" t="n"/>
      <c r="B340" s="4" t="inlineStr">
        <is>
          <t>Contact page (/contact) + footer link</t>
        </is>
      </c>
      <c r="C340" s="13" t="inlineStr">
        <is>
          <t>Done</t>
        </is>
      </c>
      <c r="D340"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0" s="14" t="inlineStr">
        <is>
          <t>Phase 14 — QA &amp; Launch</t>
        </is>
      </c>
    </row>
    <row r="341">
      <c r="A341" s="4" t="n"/>
      <c r="B341" s="4" t="inlineStr">
        <is>
          <t>Essay counts match</t>
        </is>
      </c>
      <c r="C341" s="13" t="inlineStr">
        <is>
          <t>Done</t>
        </is>
      </c>
      <c r="D341"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1" s="14" t="inlineStr">
        <is>
          <t>Phase 14 — QA &amp; Launch</t>
        </is>
      </c>
    </row>
    <row r="342">
      <c r="A342" s="4" t="n"/>
      <c r="B342" s="4" t="inlineStr">
        <is>
          <t>Team review's "everything else looks fine" re-checked</t>
        </is>
      </c>
      <c r="C342" s="13" t="inlineStr">
        <is>
          <t>Done</t>
        </is>
      </c>
      <c r="D342"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2" s="14" t="inlineStr">
        <is>
          <t>Phase 14 — QA &amp; Launch</t>
        </is>
      </c>
    </row>
    <row r="343">
      <c r="A343" s="4" t="n"/>
      <c r="B343" s="4" t="inlineStr">
        <is>
          <t>DNS cutover, legacy app decommissioned only after a stable overlap window Re-checked 2026-10-13</t>
        </is>
      </c>
      <c r="C343" s="16" t="inlineStr">
        <is>
          <t>Remaining</t>
        </is>
      </c>
      <c r="D343"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43" s="14" t="inlineStr">
        <is>
          <t>Phase 14 — QA &amp; Launch</t>
        </is>
      </c>
    </row>
  </sheetData>
  <autoFilter ref="A1:D343"/>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2026-10-13T19:08:09Z</dcterms:created>
  <dcterms:modified xsi:type="dcterms:W3CDTF">2026-10-13T19:08:09Z</dcterms:modified>
</cp:coreProperties>
</file>