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Detail'!$A$1:$D$330</definedName>
    <definedName name="_xlnm._FilterDatabase" localSheetId="2" hidden="1">'Remaining Work'!$A$1:$D$26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Detail'!$E$2:$E$330,$A5,'Full Detail'!$C$2:$C$330,"Done")</f>
        <v/>
      </c>
      <c r="C5" s="5">
        <f>COUNTIFS('Full Detail'!$E$2:$E$330,$A5,'Full Detail'!$C$2:$C$330,"Remaining")</f>
        <v/>
      </c>
      <c r="D5" s="5">
        <f>COUNTIFS('Full Detail'!$E$2:$E$330,$A5,'Full Detail'!$C$2:$C$330,"Deferred")</f>
        <v/>
      </c>
      <c r="E5" s="5">
        <f>SUM(B5:D5)</f>
        <v/>
      </c>
      <c r="F5" s="6">
        <f>IF(E5=0,0,B5/E5)</f>
        <v/>
      </c>
    </row>
    <row r="6">
      <c r="A6" s="4" t="inlineStr">
        <is>
          <t>Phase 1 — Sanity Studio &amp; Schema</t>
        </is>
      </c>
      <c r="B6" s="5">
        <f>COUNTIFS('Full Detail'!$E$2:$E$330,$A6,'Full Detail'!$C$2:$C$330,"Done")</f>
        <v/>
      </c>
      <c r="C6" s="5">
        <f>COUNTIFS('Full Detail'!$E$2:$E$330,$A6,'Full Detail'!$C$2:$C$330,"Remaining")</f>
        <v/>
      </c>
      <c r="D6" s="5">
        <f>COUNTIFS('Full Detail'!$E$2:$E$330,$A6,'Full Detail'!$C$2:$C$330,"Deferred")</f>
        <v/>
      </c>
      <c r="E6" s="5">
        <f>SUM(B6:D6)</f>
        <v/>
      </c>
      <c r="F6" s="6">
        <f>IF(E6=0,0,B6/E6)</f>
        <v/>
      </c>
    </row>
    <row r="7">
      <c r="A7" s="4" t="inlineStr">
        <is>
          <t>Phase 2 — Supabase</t>
        </is>
      </c>
      <c r="B7" s="5">
        <f>COUNTIFS('Full Detail'!$E$2:$E$330,$A7,'Full Detail'!$C$2:$C$330,"Done")</f>
        <v/>
      </c>
      <c r="C7" s="5">
        <f>COUNTIFS('Full Detail'!$E$2:$E$330,$A7,'Full Detail'!$C$2:$C$330,"Remaining")</f>
        <v/>
      </c>
      <c r="D7" s="5">
        <f>COUNTIFS('Full Detail'!$E$2:$E$330,$A7,'Full Detail'!$C$2:$C$330,"Deferred")</f>
        <v/>
      </c>
      <c r="E7" s="5">
        <f>SUM(B7:D7)</f>
        <v/>
      </c>
      <c r="F7" s="6">
        <f>IF(E7=0,0,B7/E7)</f>
        <v/>
      </c>
    </row>
    <row r="8">
      <c r="A8" s="4" t="inlineStr">
        <is>
          <t>Phase 3 — Shared Layout &amp; Design System</t>
        </is>
      </c>
      <c r="B8" s="5">
        <f>COUNTIFS('Full Detail'!$E$2:$E$330,$A8,'Full Detail'!$C$2:$C$330,"Done")</f>
        <v/>
      </c>
      <c r="C8" s="5">
        <f>COUNTIFS('Full Detail'!$E$2:$E$330,$A8,'Full Detail'!$C$2:$C$330,"Remaining")</f>
        <v/>
      </c>
      <c r="D8" s="5">
        <f>COUNTIFS('Full Detail'!$E$2:$E$330,$A8,'Full Detail'!$C$2:$C$330,"Deferred")</f>
        <v/>
      </c>
      <c r="E8" s="5">
        <f>SUM(B8:D8)</f>
        <v/>
      </c>
      <c r="F8" s="6">
        <f>IF(E8=0,0,B8/E8)</f>
        <v/>
      </c>
    </row>
    <row r="9">
      <c r="A9" s="4" t="inlineStr">
        <is>
          <t>Phase 4 — Marketing Core Pages (30 routes)</t>
        </is>
      </c>
      <c r="B9" s="5">
        <f>COUNTIFS('Full Detail'!$E$2:$E$330,$A9,'Full Detail'!$C$2:$C$330,"Done")</f>
        <v/>
      </c>
      <c r="C9" s="5">
        <f>COUNTIFS('Full Detail'!$E$2:$E$330,$A9,'Full Detail'!$C$2:$C$330,"Remaining")</f>
        <v/>
      </c>
      <c r="D9" s="5">
        <f>COUNTIFS('Full Detail'!$E$2:$E$330,$A9,'Full Detail'!$C$2:$C$330,"Deferred")</f>
        <v/>
      </c>
      <c r="E9" s="5">
        <f>SUM(B9:D9)</f>
        <v/>
      </c>
      <c r="F9" s="6">
        <f>IF(E9=0,0,B9/E9)</f>
        <v/>
      </c>
    </row>
    <row r="10">
      <c r="A10" s="4" t="inlineStr">
        <is>
          <t>Phase 5 — Blog Engine (Sanity-backed)</t>
        </is>
      </c>
      <c r="B10" s="5">
        <f>COUNTIFS('Full Detail'!$E$2:$E$330,$A10,'Full Detail'!$C$2:$C$330,"Done")</f>
        <v/>
      </c>
      <c r="C10" s="5">
        <f>COUNTIFS('Full Detail'!$E$2:$E$330,$A10,'Full Detail'!$C$2:$C$330,"Remaining")</f>
        <v/>
      </c>
      <c r="D10" s="5">
        <f>COUNTIFS('Full Detail'!$E$2:$E$330,$A10,'Full Detail'!$C$2:$C$330,"Deferred")</f>
        <v/>
      </c>
      <c r="E10" s="5">
        <f>SUM(B10:D10)</f>
        <v/>
      </c>
      <c r="F10" s="6">
        <f>IF(E10=0,0,B10/E10)</f>
        <v/>
      </c>
    </row>
    <row r="11">
      <c r="A11" s="4" t="inlineStr">
        <is>
          <t>Phase 6 — BrewSoul (28 routes)</t>
        </is>
      </c>
      <c r="B11" s="5">
        <f>COUNTIFS('Full Detail'!$E$2:$E$330,$A11,'Full Detail'!$C$2:$C$330,"Done")</f>
        <v/>
      </c>
      <c r="C11" s="5">
        <f>COUNTIFS('Full Detail'!$E$2:$E$330,$A11,'Full Detail'!$C$2:$C$330,"Remaining")</f>
        <v/>
      </c>
      <c r="D11" s="5">
        <f>COUNTIFS('Full Detail'!$E$2:$E$330,$A11,'Full Detail'!$C$2:$C$330,"Deferred")</f>
        <v/>
      </c>
      <c r="E11" s="5">
        <f>SUM(B11:D11)</f>
        <v/>
      </c>
      <c r="F11" s="6">
        <f>IF(E11=0,0,B11/E11)</f>
        <v/>
      </c>
    </row>
    <row r="12">
      <c r="A12" s="4" t="inlineStr">
        <is>
          <t>Phase 7 — PRI &amp; Kava Encyclopedias (19 routes)</t>
        </is>
      </c>
      <c r="B12" s="5">
        <f>COUNTIFS('Full Detail'!$E$2:$E$330,$A12,'Full Detail'!$C$2:$C$330,"Done")</f>
        <v/>
      </c>
      <c r="C12" s="5">
        <f>COUNTIFS('Full Detail'!$E$2:$E$330,$A12,'Full Detail'!$C$2:$C$330,"Remaining")</f>
        <v/>
      </c>
      <c r="D12" s="5">
        <f>COUNTIFS('Full Detail'!$E$2:$E$330,$A12,'Full Detail'!$C$2:$C$330,"Deferred")</f>
        <v/>
      </c>
      <c r="E12" s="5">
        <f>SUM(B12:D12)</f>
        <v/>
      </c>
      <c r="F12" s="6">
        <f>IF(E12=0,0,B12/E12)</f>
        <v/>
      </c>
    </row>
    <row r="13">
      <c r="A13" s="4" t="inlineStr">
        <is>
          <t>Phase 8 — Attention Theft Manifesto (7 routes)</t>
        </is>
      </c>
      <c r="B13" s="5">
        <f>COUNTIFS('Full Detail'!$E$2:$E$330,$A13,'Full Detail'!$C$2:$C$330,"Done")</f>
        <v/>
      </c>
      <c r="C13" s="5">
        <f>COUNTIFS('Full Detail'!$E$2:$E$330,$A13,'Full Detail'!$C$2:$C$330,"Remaining")</f>
        <v/>
      </c>
      <c r="D13" s="5">
        <f>COUNTIFS('Full Detail'!$E$2:$E$330,$A13,'Full Detail'!$C$2:$C$330,"Deferred")</f>
        <v/>
      </c>
      <c r="E13" s="5">
        <f>SUM(B13:D13)</f>
        <v/>
      </c>
      <c r="F13" s="6">
        <f>IF(E13=0,0,B13/E13)</f>
        <v/>
      </c>
    </row>
    <row r="14">
      <c r="A14" s="4" t="inlineStr">
        <is>
          <t>Phase 9 — Assessments (33 routes)</t>
        </is>
      </c>
      <c r="B14" s="5">
        <f>COUNTIFS('Full Detail'!$E$2:$E$330,$A14,'Full Detail'!$C$2:$C$330,"Done")</f>
        <v/>
      </c>
      <c r="C14" s="5">
        <f>COUNTIFS('Full Detail'!$E$2:$E$330,$A14,'Full Detail'!$C$2:$C$330,"Remaining")</f>
        <v/>
      </c>
      <c r="D14" s="5">
        <f>COUNTIFS('Full Detail'!$E$2:$E$330,$A14,'Full Detail'!$C$2:$C$330,"Deferred")</f>
        <v/>
      </c>
      <c r="E14" s="5">
        <f>SUM(B14:D14)</f>
        <v/>
      </c>
      <c r="F14" s="6">
        <f>IF(E14=0,0,B14/E14)</f>
        <v/>
      </c>
    </row>
    <row r="15">
      <c r="A15" s="4" t="inlineStr">
        <is>
          <t>Phase 10 — FauxTony Chatbot — CANCELLED (2026-09-10)</t>
        </is>
      </c>
      <c r="B15" s="5">
        <f>COUNTIFS('Full Detail'!$E$2:$E$330,$A15,'Full Detail'!$C$2:$C$330,"Done")</f>
        <v/>
      </c>
      <c r="C15" s="5">
        <f>COUNTIFS('Full Detail'!$E$2:$E$330,$A15,'Full Detail'!$C$2:$C$330,"Remaining")</f>
        <v/>
      </c>
      <c r="D15" s="5">
        <f>COUNTIFS('Full Detail'!$E$2:$E$330,$A15,'Full Detail'!$C$2:$C$330,"Deferred")</f>
        <v/>
      </c>
      <c r="E15" s="5">
        <f>SUM(B15:D15)</f>
        <v/>
      </c>
      <c r="F15" s="6">
        <f>IF(E15=0,0,B15/E15)</f>
        <v/>
      </c>
    </row>
    <row r="16">
      <c r="A16" s="4" t="inlineStr">
        <is>
          <t>Phase 11 — Code MCP Server — REBUILT (2026-09-29)</t>
        </is>
      </c>
      <c r="B16" s="5">
        <f>COUNTIFS('Full Detail'!$E$2:$E$330,$A16,'Full Detail'!$C$2:$C$330,"Done")</f>
        <v/>
      </c>
      <c r="C16" s="5">
        <f>COUNTIFS('Full Detail'!$E$2:$E$330,$A16,'Full Detail'!$C$2:$C$330,"Remaining")</f>
        <v/>
      </c>
      <c r="D16" s="5">
        <f>COUNTIFS('Full Detail'!$E$2:$E$330,$A16,'Full Detail'!$C$2:$C$330,"Deferred")</f>
        <v/>
      </c>
      <c r="E16" s="5">
        <f>SUM(B16:D16)</f>
        <v/>
      </c>
      <c r="F16" s="6">
        <f>IF(E16=0,0,B16/E16)</f>
        <v/>
      </c>
    </row>
    <row r="17">
      <c r="A17" s="4" t="inlineStr">
        <is>
          <t>Phase 12 — SEO Hardening, Redirects &amp; Cutover Prep</t>
        </is>
      </c>
      <c r="B17" s="5">
        <f>COUNTIFS('Full Detail'!$E$2:$E$330,$A17,'Full Detail'!$C$2:$C$330,"Done")</f>
        <v/>
      </c>
      <c r="C17" s="5">
        <f>COUNTIFS('Full Detail'!$E$2:$E$330,$A17,'Full Detail'!$C$2:$C$330,"Remaining")</f>
        <v/>
      </c>
      <c r="D17" s="5">
        <f>COUNTIFS('Full Detail'!$E$2:$E$330,$A17,'Full Detail'!$C$2:$C$330,"Deferred")</f>
        <v/>
      </c>
      <c r="E17" s="5">
        <f>SUM(B17:D17)</f>
        <v/>
      </c>
      <c r="F17" s="6">
        <f>IF(E17=0,0,B17/E17)</f>
        <v/>
      </c>
    </row>
    <row r="18">
      <c r="A18" s="4" t="inlineStr">
        <is>
          <t>Phase 13 — Images Needed in Sanity</t>
        </is>
      </c>
      <c r="B18" s="5">
        <f>COUNTIFS('Full Detail'!$E$2:$E$330,$A18,'Full Detail'!$C$2:$C$330,"Done")</f>
        <v/>
      </c>
      <c r="C18" s="5">
        <f>COUNTIFS('Full Detail'!$E$2:$E$330,$A18,'Full Detail'!$C$2:$C$330,"Remaining")</f>
        <v/>
      </c>
      <c r="D18" s="5">
        <f>COUNTIFS('Full Detail'!$E$2:$E$330,$A18,'Full Detail'!$C$2:$C$330,"Deferred")</f>
        <v/>
      </c>
      <c r="E18" s="5">
        <f>SUM(B18:D18)</f>
        <v/>
      </c>
      <c r="F18" s="6">
        <f>IF(E18=0,0,B18/E18)</f>
        <v/>
      </c>
    </row>
    <row r="19">
      <c r="A19" s="4" t="inlineStr">
        <is>
          <t>Phase 14 — QA &amp; Launch</t>
        </is>
      </c>
      <c r="B19" s="5">
        <f>COUNTIFS('Full Detail'!$E$2:$E$330,$A19,'Full Detail'!$C$2:$C$330,"Done")</f>
        <v/>
      </c>
      <c r="C19" s="5">
        <f>COUNTIFS('Full Detail'!$E$2:$E$330,$A19,'Full Detail'!$C$2:$C$330,"Remaining")</f>
        <v/>
      </c>
      <c r="D19" s="5">
        <f>COUNTIFS('Full Detail'!$E$2:$E$330,$A19,'Full Detail'!$C$2:$C$330,"Deferred")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0"/>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Run the database scripts once, in order</t>
        </is>
      </c>
      <c r="C42" s="15" t="inlineStr">
        <is>
          <t>Remaining</t>
        </is>
      </c>
      <c r="D42"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2" s="14" t="inlineStr">
        <is>
          <t>Phase 2 — Supabase</t>
        </is>
      </c>
    </row>
    <row r="43">
      <c r="A43" s="10" t="inlineStr">
        <is>
          <t>Phase 3 — Shared Layout &amp; Design System</t>
        </is>
      </c>
      <c r="B43" s="11" t="n"/>
      <c r="C43" s="11" t="n"/>
      <c r="D43" s="12" t="n"/>
    </row>
    <row r="44">
      <c r="A44" s="4" t="n"/>
      <c r="B44" s="4" t="inlineStr">
        <is>
          <t>Root layout (web/src/app/layout.tsx)</t>
        </is>
      </c>
      <c r="C44" s="13" t="inlineStr">
        <is>
          <t>Done</t>
        </is>
      </c>
      <c r="D44" s="4" t="inlineStr">
        <is>
          <t>fonts (Playfair Display / DM Mono / Source Sans 3 via next/font/google), &lt;TooltipProvider&gt;, theme provider (next-themes, class strategy), global &lt;Toaster /&gt; (sonner), skip-to-content link</t>
        </is>
      </c>
      <c r="E44" s="14" t="inlineStr">
        <is>
          <t>Phase 3 — Shared Layout &amp; Design System</t>
        </is>
      </c>
    </row>
    <row r="45">
      <c r="A45" s="4" t="n"/>
      <c r="B45" s="4" t="inlineStr">
        <is>
          <t>Global metadata defaults in root layout (metadataBase, title template, default OG/Twitter card)</t>
        </is>
      </c>
      <c r="C45" s="13" t="inlineStr">
        <is>
          <t>Done</t>
        </is>
      </c>
      <c r="D45" s="4" t="inlineStr"/>
      <c r="E45" s="14" t="inlineStr">
        <is>
          <t>Phase 3 — Shared Layout &amp; Design System</t>
        </is>
      </c>
    </row>
    <row r="46">
      <c r="A46" s="4" t="n"/>
      <c r="B46" s="4" t="inlineStr">
        <is>
          <t>Favicon (src/app/icon.tsx)</t>
        </is>
      </c>
      <c r="C46" s="13" t="inlineStr">
        <is>
          <t>Done</t>
        </is>
      </c>
      <c r="D46" s="4" t="inlineStr">
        <is>
          <t>real brand mark, not the default Next.js icon: a generated 32×32 PNG of the "G" from the header's actual "TonyG" wordmark (Playfair Display, brand-gold), since the full wordmark doesn't read at favicon scale. Deleted the stale default favicon.ico.</t>
        </is>
      </c>
      <c r="E46" s="14" t="inlineStr">
        <is>
          <t>Phase 3 — Shared Layout &amp; Design System</t>
        </is>
      </c>
    </row>
    <row r="47">
      <c r="A47" s="4" t="n"/>
      <c r="B47" s="4" t="inlineStr">
        <is>
          <t>Header/nav component (site-header.tsx)</t>
        </is>
      </c>
      <c r="C47" s="13" t="inlineStr">
        <is>
          <t>Done</t>
        </is>
      </c>
      <c r="D47"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7" s="14" t="inlineStr">
        <is>
          <t>Phase 3 — Shared Layout &amp; Design System</t>
        </is>
      </c>
    </row>
    <row r="48">
      <c r="A48" s="4" t="n"/>
      <c r="B48" s="4" t="inlineStr">
        <is>
          <t>Mobile nav (shadcn Sheet + Accordion, real nav content, no framer-motion)</t>
        </is>
      </c>
      <c r="C48" s="13" t="inlineStr">
        <is>
          <t>Done</t>
        </is>
      </c>
      <c r="D48" s="4" t="inlineStr"/>
      <c r="E48" s="14" t="inlineStr">
        <is>
          <t>Phase 3 — Shared Layout &amp; Design System</t>
        </is>
      </c>
    </row>
    <row r="49">
      <c r="A49" s="4" t="n"/>
      <c r="B49" s="4" t="inlineStr">
        <is>
          <t>Footer component (site-footer.tsx)</t>
        </is>
      </c>
      <c r="C49" s="13" t="inlineStr">
        <is>
          <t>Done</t>
        </is>
      </c>
      <c r="D49"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49" s="14" t="inlineStr">
        <is>
          <t>Phase 3 — Shared Layout &amp; Design System</t>
        </is>
      </c>
    </row>
    <row r="50">
      <c r="A50" s="4" t="n"/>
      <c r="B50" s="4" t="inlineStr">
        <is>
          <t>Brand design tokens in globals.css (--brand-gold/--brand-gold-light/backgrounds/borders) ported from the real site palette (#8B6914, #D4B96A…</t>
        </is>
      </c>
      <c r="C50" s="13" t="inlineStr">
        <is>
          <t>Done</t>
        </is>
      </c>
      <c r="D50" s="4" t="inlineStr">
        <is>
          <t>, #0A0A10, #FAFAF7, purple-tinted borders) instead of shadcn's default grayscale theme</t>
        </is>
      </c>
      <c r="E50" s="14" t="inlineStr">
        <is>
          <t>Phase 3 — Shared Layout &amp; Design System</t>
        </is>
      </c>
    </row>
    <row r="51">
      <c r="A51" s="4" t="n"/>
      <c r="B51" s="4" t="inlineStr">
        <is>
          <t>Shared typography components</t>
        </is>
      </c>
      <c r="C51" s="13" t="inlineStr">
        <is>
          <t>Done</t>
        </is>
      </c>
      <c r="D51" s="4" t="inlineStr">
        <is>
          <t>ended up built directly in Phase 5 (portable-text.tsx, drop-cap CSS, pull-quote block) rather than as a separate Phase 3 deliverable, since that's where they're actually consumed</t>
        </is>
      </c>
      <c r="E51" s="14" t="inlineStr">
        <is>
          <t>Phase 3 — Shared Layout &amp; Design System</t>
        </is>
      </c>
    </row>
    <row r="52">
      <c r="A52" s="4" t="n"/>
      <c r="B52" s="4" t="inlineStr">
        <is>
          <t>robots.ts (AI crawlers explicitly allowed per the current SEO plan, scraper bots blocked) and sitemap.ts (live from Sanity post slugs alread…</t>
        </is>
      </c>
      <c r="C52" s="13" t="inlineStr">
        <is>
          <t>Done</t>
        </is>
      </c>
      <c r="D52" s="4" t="inlineStr">
        <is>
          <t>y, extended per-section in later phases)</t>
        </is>
      </c>
      <c r="E52" s="14" t="inlineStr">
        <is>
          <t>Phase 3 — Shared Layout &amp; Design System</t>
        </is>
      </c>
    </row>
    <row r="53">
      <c r="A53" s="4" t="n"/>
      <c r="B53" s="4" t="inlineStr">
        <is>
          <t>Error boundary (error.tsx) and not-found.tsx (real legacy 404 copy + countdown-redirect behavior ported from pages/NotFound.tsx)</t>
        </is>
      </c>
      <c r="C53" s="13" t="inlineStr">
        <is>
          <t>Done</t>
        </is>
      </c>
      <c r="D53" s="4" t="inlineStr"/>
      <c r="E53" s="14" t="inlineStr">
        <is>
          <t>Phase 3 — Shared Layout &amp; Design System</t>
        </is>
      </c>
    </row>
    <row r="54">
      <c r="A54" s="4" t="n"/>
      <c r="B54" s="4" t="inlineStr">
        <is>
          <t>Loading UI (loading.tsx) using shadcn Skeleton</t>
        </is>
      </c>
      <c r="C54" s="13" t="inlineStr">
        <is>
          <t>Done</t>
        </is>
      </c>
      <c r="D54" s="4" t="inlineStr"/>
      <c r="E54" s="14" t="inlineStr">
        <is>
          <t>Phase 3 — Shared Layout &amp; Design System</t>
        </is>
      </c>
    </row>
    <row r="55">
      <c r="A55" s="4" t="n"/>
      <c r="B55" s="4" t="inlineStr">
        <is>
          <t>Icon library decision</t>
        </is>
      </c>
      <c r="C55" s="13" t="inlineStr">
        <is>
          <t>Done</t>
        </is>
      </c>
      <c r="D55" s="4" t="inlineStr">
        <is>
          <t>lucide-react for all standard UI icons (menu, sun/moon, chevrons); react-icons/fa6 only for the X/LinkedIn brand marks, since lucide-react v1 dropped brand/logo icons entirely</t>
        </is>
      </c>
      <c r="E55" s="14" t="inlineStr">
        <is>
          <t>Phase 3 — Shared Layout &amp; Design System</t>
        </is>
      </c>
    </row>
    <row r="56">
      <c r="A56" s="4" t="n"/>
      <c r="B56" s="4" t="inlineStr">
        <is>
          <t>Top-of-page navigation progress bar (nav-progress-bar.tsx)</t>
        </is>
      </c>
      <c r="C56" s="13" t="inlineStr">
        <is>
          <t>Done</t>
        </is>
      </c>
      <c r="D56" s="4" t="inlineStr">
        <is>
          <t>visible feedback on route transitions, built on the Navigation API (window.navigation) rather than a dependency like nprogress; progressive enhancement, renders nothing where unsupported</t>
        </is>
      </c>
      <c r="E56" s="14" t="inlineStr">
        <is>
          <t>Phase 3 — Shared Layout &amp; Design System</t>
        </is>
      </c>
    </row>
    <row r="57">
      <c r="A57" s="4" t="n"/>
      <c r="B57" s="4" t="inlineStr">
        <is>
          <t>Verify header/footer/nav visually in a real browser</t>
        </is>
      </c>
      <c r="C57" s="13" t="inlineStr">
        <is>
          <t>Done</t>
        </is>
      </c>
      <c r="D57"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7" s="14" t="inlineStr">
        <is>
          <t>Phase 3 — Shared Layout &amp; Design System</t>
        </is>
      </c>
    </row>
    <row r="58">
      <c r="A58" s="10" t="inlineStr">
        <is>
          <t>Phase 4 — Marketing Core Pages (30 routes)</t>
        </is>
      </c>
      <c r="B58" s="11" t="n"/>
      <c r="C58" s="11" t="n"/>
      <c r="D58" s="12" t="n"/>
    </row>
    <row r="59">
      <c r="A59" s="4" t="n"/>
      <c r="B59" s="4" t="inlineStr">
        <is>
          <t>/ (homepage)</t>
        </is>
      </c>
      <c r="C59" s="13" t="inlineStr">
        <is>
          <t>Done</t>
        </is>
      </c>
      <c r="D59"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59" s="14" t="inlineStr">
        <is>
          <t>Phase 4 — Marketing Core Pages (30 routes)</t>
        </is>
      </c>
    </row>
    <row r="60">
      <c r="A60" s="4" t="n"/>
      <c r="B60" s="4" t="inlineStr">
        <is>
          <t>/the-letter</t>
        </is>
      </c>
      <c r="C60" s="13" t="inlineStr">
        <is>
          <t>Done</t>
        </is>
      </c>
      <c r="D60"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0" s="14" t="inlineStr">
        <is>
          <t>Phase 4 — Marketing Core Pages (30 routes)</t>
        </is>
      </c>
    </row>
    <row r="61">
      <c r="A61" s="4" t="n"/>
      <c r="B61" s="4" t="inlineStr">
        <is>
          <t>/walk-through</t>
        </is>
      </c>
      <c r="C61" s="13" t="inlineStr">
        <is>
          <t>Done</t>
        </is>
      </c>
      <c r="D61"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1" s="14" t="inlineStr">
        <is>
          <t>Phase 4 — Marketing Core Pages (30 routes)</t>
        </is>
      </c>
    </row>
    <row r="62">
      <c r="A62" s="4" t="n"/>
      <c r="B62" s="4" t="inlineStr">
        <is>
          <t>/the-territory</t>
        </is>
      </c>
      <c r="C62" s="13" t="inlineStr">
        <is>
          <t>Done</t>
        </is>
      </c>
      <c r="D62" s="4" t="inlineStr">
        <is>
          <t>Territory.tsx. Real content ported (10 heroes/influences with full notes, Operating Philosophy, pull quote, "The Lesson" callout, next-page link). Verified live: 200 OK, real content, correct next-page link.</t>
        </is>
      </c>
      <c r="E62" s="14" t="inlineStr">
        <is>
          <t>Phase 4 — Marketing Core Pages (30 routes)</t>
        </is>
      </c>
    </row>
    <row r="63">
      <c r="A63" s="4" t="n"/>
      <c r="B63" s="4" t="inlineStr">
        <is>
          <t>/engine-room</t>
        </is>
      </c>
      <c r="C63" s="13" t="inlineStr">
        <is>
          <t>Done</t>
        </is>
      </c>
      <c r="D63" s="4" t="inlineStr">
        <is>
          <t>EngineRoom.tsx. Real content ported (6 active ventures, 4 active engagements, pull quote, "The Lesson" callout, next-page link). Verified live: 200 OK, real content, correct next-page link.</t>
        </is>
      </c>
      <c r="E63" s="14" t="inlineStr">
        <is>
          <t>Phase 4 — Marketing Core Pages (30 routes)</t>
        </is>
      </c>
    </row>
    <row r="64">
      <c r="A64" s="4" t="n"/>
      <c r="B64" s="4" t="inlineStr">
        <is>
          <t>/under-nda</t>
        </is>
      </c>
      <c r="C64" s="13" t="inlineStr">
        <is>
          <t>Done</t>
        </is>
      </c>
      <c r="D64" s="4" t="inlineStr">
        <is>
          <t>UnderNDA.tsx. Real content ported (Corridor overview, pull quote, "What We're Building" list, inline quote, "The Lesson", next-page link). Verified live: 200 OK.</t>
        </is>
      </c>
      <c r="E64" s="14" t="inlineStr">
        <is>
          <t>Phase 4 — Marketing Core Pages (30 routes)</t>
        </is>
      </c>
    </row>
    <row r="65">
      <c r="A65" s="4" t="n"/>
      <c r="B65" s="4" t="inlineStr">
        <is>
          <t>/the-body</t>
        </is>
      </c>
      <c r="C65" s="13" t="inlineStr">
        <is>
          <t>Done</t>
        </is>
      </c>
      <c r="D65" s="4" t="inlineStr">
        <is>
          <t>TheBody.tsx. Real content ported (Alt Therapy Scorecard, Current Protocols, Peptide Research Tools links, pull quote, "The Lesson"). Hero image rescued from legacy /api/img/ into Sanity before porting. Verified live: 200 OK, real image.</t>
        </is>
      </c>
      <c r="E65" s="14" t="inlineStr">
        <is>
          <t>Phase 4 — Marketing Core Pages (30 routes)</t>
        </is>
      </c>
    </row>
    <row r="66">
      <c r="A66" s="4" t="n"/>
      <c r="B66" s="4" t="inlineStr">
        <is>
          <t>/the-nightstand</t>
        </is>
      </c>
      <c r="C66" s="13" t="inlineStr">
        <is>
          <t>Done</t>
        </is>
      </c>
      <c r="D66" s="4" t="inlineStr">
        <is>
          <t>Nightstand.tsx. Real content ported (7 books, 5 key concepts, pull quote, "The Lesson"). Hero image rescued into Sanity. Verified live: 200 OK, real image.</t>
        </is>
      </c>
      <c r="E66" s="14" t="inlineStr">
        <is>
          <t>Phase 4 — Marketing Core Pages (30 routes)</t>
        </is>
      </c>
    </row>
    <row r="67">
      <c r="A67" s="4" t="n"/>
      <c r="B67" s="4" t="inlineStr">
        <is>
          <t>/the-web</t>
        </is>
      </c>
      <c r="C67" s="13" t="inlineStr">
        <is>
          <t>Done</t>
        </is>
      </c>
      <c r="D67" s="4" t="inlineStr">
        <is>
          <t>TheWeb.tsx. Real content ported (20 client badges, 4 key partnerships, pull quote, adage strip, "The Lesson"). Hero image rescued into Sanity. Verified live: 200 OK, real image.</t>
        </is>
      </c>
      <c r="E67" s="14" t="inlineStr">
        <is>
          <t>Phase 4 — Marketing Core Pages (30 routes)</t>
        </is>
      </c>
    </row>
    <row r="68">
      <c r="A68" s="4" t="n"/>
      <c r="B68" s="4" t="inlineStr">
        <is>
          <t>/pick-up-the-phone</t>
        </is>
      </c>
      <c r="C68" s="13" t="inlineStr">
        <is>
          <t>Done</t>
        </is>
      </c>
      <c r="D68" s="4" t="inlineStr">
        <is>
          <t>PickUp.tsx. Real content ported (Engagement Audit CTA to /engage, email/location, "What to Talk About" topics, social links, pull quote, "The Lesson"). Verified live: 200 OK.</t>
        </is>
      </c>
      <c r="E68" s="14" t="inlineStr">
        <is>
          <t>Phase 4 — Marketing Core Pages (30 routes)</t>
        </is>
      </c>
    </row>
    <row r="69">
      <c r="A69" s="4" t="n"/>
      <c r="B69" s="4" t="inlineStr">
        <is>
          <t>/journeys</t>
        </is>
      </c>
      <c r="C69" s="13" t="inlineStr">
        <is>
          <t>Done</t>
        </is>
      </c>
      <c r="D69"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69" s="14" t="inlineStr">
        <is>
          <t>Phase 4 — Marketing Core Pages (30 routes)</t>
        </is>
      </c>
    </row>
    <row r="70">
      <c r="A70" s="4" t="n"/>
      <c r="B70" s="4" t="inlineStr">
        <is>
          <t>/recent-creations</t>
        </is>
      </c>
      <c r="C70" s="13" t="inlineStr">
        <is>
          <t>Done</t>
        </is>
      </c>
      <c r="D70"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0" s="14" t="inlineStr">
        <is>
          <t>Phase 4 — Marketing Core Pages (30 routes)</t>
        </is>
      </c>
    </row>
    <row r="71">
      <c r="A71" s="4" t="n"/>
      <c r="B71" s="4" t="inlineStr">
        <is>
          <t>/intel</t>
        </is>
      </c>
      <c r="C71" s="13" t="inlineStr">
        <is>
          <t>Done</t>
        </is>
      </c>
      <c r="D71"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1" s="14" t="inlineStr">
        <is>
          <t>Phase 4 — Marketing Core Pages (30 routes)</t>
        </is>
      </c>
    </row>
    <row r="72">
      <c r="A72" s="4" t="n"/>
      <c r="B72" s="4" t="inlineStr">
        <is>
          <t>/about</t>
        </is>
      </c>
      <c r="C72" s="13" t="inlineStr">
        <is>
          <t>Done</t>
        </is>
      </c>
      <c r="D72"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2" s="14" t="inlineStr">
        <is>
          <t>Phase 4 — Marketing Core Pages (30 routes)</t>
        </is>
      </c>
    </row>
    <row r="73">
      <c r="A73" s="4" t="n"/>
      <c r="B73" s="4" t="inlineStr">
        <is>
          <t>/speaking</t>
        </is>
      </c>
      <c r="C73" s="13" t="inlineStr">
        <is>
          <t>Done</t>
        </is>
      </c>
      <c r="D73" s="4" t="inlineStr">
        <is>
          <t>Speaking.tsx. Real content ported (4 speaking topics, 4 formats, rooms spoken at, CTA). Verified live: 200 OK.</t>
        </is>
      </c>
      <c r="E73" s="14" t="inlineStr">
        <is>
          <t>Phase 4 — Marketing Core Pages (30 routes)</t>
        </is>
      </c>
    </row>
    <row r="74">
      <c r="A74" s="4" t="n"/>
      <c r="B74" s="4" t="inlineStr">
        <is>
          <t>/ecosystem</t>
        </is>
      </c>
      <c r="C74" s="13" t="inlineStr">
        <is>
          <t>Done</t>
        </is>
      </c>
      <c r="D74" s="4" t="inlineStr">
        <is>
          <t>Ecosystem.tsx. Real content ported (What It Is, Who It's For, What Members Receive, invitation CTA). Verified live: 200 OK.</t>
        </is>
      </c>
      <c r="E74" s="14" t="inlineStr">
        <is>
          <t>Phase 4 — Marketing Core Pages (30 routes)</t>
        </is>
      </c>
    </row>
    <row r="75">
      <c r="A75" s="4" t="n"/>
      <c r="B75" s="4" t="inlineStr">
        <is>
          <t>/start-here</t>
        </is>
      </c>
      <c r="C75" s="13" t="inlineStr">
        <is>
          <t>Done</t>
        </is>
      </c>
      <c r="D75"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5" s="14" t="inlineStr">
        <is>
          <t>Phase 4 — Marketing Core Pages (30 routes)</t>
        </is>
      </c>
    </row>
    <row r="76">
      <c r="A76" s="4" t="n"/>
      <c r="B76" s="4" t="inlineStr">
        <is>
          <t>/published</t>
        </is>
      </c>
      <c r="C76" s="13" t="inlineStr">
        <is>
          <t>Done</t>
        </is>
      </c>
      <c r="D76"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6" s="14" t="inlineStr">
        <is>
          <t>Phase 4 — Marketing Core Pages (30 routes)</t>
        </is>
      </c>
    </row>
    <row r="77">
      <c r="A77" s="4" t="n"/>
      <c r="B77" s="4" t="inlineStr">
        <is>
          <t>/clients</t>
        </is>
      </c>
      <c r="C77" s="13" t="inlineStr">
        <is>
          <t>Done</t>
        </is>
      </c>
      <c r="D77"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7" s="14" t="inlineStr">
        <is>
          <t>Phase 4 — Marketing Core Pages (30 routes)</t>
        </is>
      </c>
    </row>
    <row r="78">
      <c r="A78" s="4" t="n"/>
      <c r="B78" s="4" t="inlineStr">
        <is>
          <t>/series</t>
        </is>
      </c>
      <c r="C78" s="13" t="inlineStr">
        <is>
          <t>Done</t>
        </is>
      </c>
      <c r="D78"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8" s="14" t="inlineStr">
        <is>
          <t>Phase 4 — Marketing Core Pages (30 routes)</t>
        </is>
      </c>
    </row>
    <row r="79">
      <c r="A79" s="4" t="n"/>
      <c r="B79" s="4" t="inlineStr">
        <is>
          <t>/framework</t>
        </is>
      </c>
      <c r="C79" s="13" t="inlineStr">
        <is>
          <t>Done</t>
        </is>
      </c>
      <c r="D79"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79" s="14" t="inlineStr">
        <is>
          <t>Phase 4 — Marketing Core Pages (30 routes)</t>
        </is>
      </c>
    </row>
    <row r="80">
      <c r="A80" s="4" t="n"/>
      <c r="B80" s="4" t="inlineStr">
        <is>
          <t>/spirits</t>
        </is>
      </c>
      <c r="C80" s="13" t="inlineStr">
        <is>
          <t>Done</t>
        </is>
      </c>
      <c r="D80"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0" s="14" t="inlineStr">
        <is>
          <t>Phase 4 — Marketing Core Pages (30 routes)</t>
        </is>
      </c>
    </row>
    <row r="81">
      <c r="A81" s="4" t="n"/>
      <c r="B81" s="4" t="inlineStr">
        <is>
          <t>/community (+ /find-my-tribe → 308 redirect, next.config.ts)</t>
        </is>
      </c>
      <c r="C81" s="13" t="inlineStr">
        <is>
          <t>Done</t>
        </is>
      </c>
      <c r="D81"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1" s="14" t="inlineStr">
        <is>
          <t>Phase 4 — Marketing Core Pages (30 routes)</t>
        </is>
      </c>
    </row>
    <row r="82">
      <c r="A82" s="4" t="n"/>
      <c r="B82" s="4" t="inlineStr">
        <is>
          <t>/engage</t>
        </is>
      </c>
      <c r="C82" s="13" t="inlineStr">
        <is>
          <t>Done</t>
        </is>
      </c>
      <c r="D82"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2" s="14" t="inlineStr">
        <is>
          <t>Phase 4 — Marketing Core Pages (30 routes)</t>
        </is>
      </c>
    </row>
    <row r="83">
      <c r="A83" s="4" t="n"/>
      <c r="B83" s="4" t="inlineStr">
        <is>
          <t>/amplifier</t>
        </is>
      </c>
      <c r="C83" s="13" t="inlineStr">
        <is>
          <t>Done</t>
        </is>
      </c>
      <c r="D83"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3" s="14" t="inlineStr">
        <is>
          <t>Phase 4 — Marketing Core Pages (30 routes)</t>
        </is>
      </c>
    </row>
    <row r="84">
      <c r="A84" s="4" t="n"/>
      <c r="B84" s="4" t="inlineStr">
        <is>
          <t>/diamond-cut</t>
        </is>
      </c>
      <c r="C84" s="13" t="inlineStr">
        <is>
          <t>Done</t>
        </is>
      </c>
      <c r="D84"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4" s="14" t="inlineStr">
        <is>
          <t>Phase 4 — Marketing Core Pages (30 routes)</t>
        </is>
      </c>
    </row>
    <row r="85">
      <c r="A85" s="4" t="n"/>
      <c r="B85" s="4" t="inlineStr">
        <is>
          <t>/essays</t>
        </is>
      </c>
      <c r="C85" s="13" t="inlineStr">
        <is>
          <t>Done</t>
        </is>
      </c>
      <c r="D85"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5" s="14" t="inlineStr">
        <is>
          <t>Phase 4 — Marketing Core Pages (30 routes)</t>
        </is>
      </c>
    </row>
    <row r="86">
      <c r="A86" s="4" t="n"/>
      <c r="B86" s="4" t="inlineStr">
        <is>
          <t>/invest</t>
        </is>
      </c>
      <c r="C86" s="13" t="inlineStr">
        <is>
          <t>Done</t>
        </is>
      </c>
      <c r="D86"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6" s="14" t="inlineStr">
        <is>
          <t>Phase 4 — Marketing Core Pages (30 routes)</t>
        </is>
      </c>
    </row>
    <row r="87">
      <c r="A87" s="4" t="n"/>
      <c r="B87" s="4" t="inlineStr">
        <is>
          <t>/akbar</t>
        </is>
      </c>
      <c r="C87" s="13" t="inlineStr">
        <is>
          <t>Done</t>
        </is>
      </c>
      <c r="D87"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7" s="14" t="inlineStr">
        <is>
          <t>Phase 4 — Marketing Core Pages (30 routes)</t>
        </is>
      </c>
    </row>
    <row r="88">
      <c r="A88" s="4" t="n"/>
      <c r="B88" s="4" t="inlineStr">
        <is>
          <t>/living-declaration (+ /manifesto → 308 redirect, next.config.ts)</t>
        </is>
      </c>
      <c r="C88" s="13" t="inlineStr">
        <is>
          <t>Done</t>
        </is>
      </c>
      <c r="D88"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8" s="14" t="inlineStr">
        <is>
          <t>Phase 4 — Marketing Core Pages (30 routes)</t>
        </is>
      </c>
    </row>
    <row r="89">
      <c r="A89" s="4" t="n"/>
      <c r="B89" s="4" t="inlineStr">
        <is>
          <t>/protecting-your-business</t>
        </is>
      </c>
      <c r="C89" s="13" t="inlineStr">
        <is>
          <t>Done</t>
        </is>
      </c>
      <c r="D89"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89" s="14" t="inlineStr">
        <is>
          <t>Phase 4 — Marketing Core Pages (30 routes)</t>
        </is>
      </c>
    </row>
    <row r="90">
      <c r="A90" s="4" t="n"/>
      <c r="B90" s="4" t="inlineStr">
        <is>
          <t>/alex-azzi (+ /cheshire-grin, 308-redirected to it)</t>
        </is>
      </c>
      <c r="C90" s="13" t="inlineStr">
        <is>
          <t>Done</t>
        </is>
      </c>
      <c r="D90"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0" s="14" t="inlineStr">
        <is>
          <t>Phase 4 — Marketing Core Pages (30 routes)</t>
        </is>
      </c>
    </row>
    <row r="91">
      <c r="A91" s="4" t="n"/>
      <c r="B91" s="4" t="inlineStr">
        <is>
          <t>Real bug found and fixed</t>
        </is>
      </c>
      <c r="C91" s="13" t="inlineStr">
        <is>
          <t>Done</t>
        </is>
      </c>
      <c r="D91"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1" s="14" t="inlineStr">
        <is>
          <t>Phase 4 — Marketing Core Pages (30 routes)</t>
        </is>
      </c>
    </row>
    <row r="92">
      <c r="A92" s="4" t="n"/>
      <c r="B92" s="4" t="inlineStr">
        <is>
          <t>/rip-peptide-sciences</t>
        </is>
      </c>
      <c r="C92" s="13" t="inlineStr">
        <is>
          <t>Done</t>
        </is>
      </c>
      <c r="D92"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2" s="14" t="inlineStr">
        <is>
          <t>Phase 4 — Marketing Core Pages (30 routes)</t>
        </is>
      </c>
    </row>
    <row r="93">
      <c r="A93" s="4" t="n"/>
      <c r="B93" s="4" t="inlineStr">
        <is>
          <t>/whats-legal</t>
        </is>
      </c>
      <c r="C93" s="13" t="inlineStr">
        <is>
          <t>Done</t>
        </is>
      </c>
      <c r="D93" s="4" t="inlineStr">
        <is>
          <t>WhatsLegal.tsx. Real content ported in full — 17 real compounds with real US/UK/Australia regulatory status, searchable/risk-filterable table, the 3 "key distinctions" callouts. No backend dependency. Verified live: 200 OK, full table + all real compounds present.</t>
        </is>
      </c>
      <c r="E93" s="14" t="inlineStr">
        <is>
          <t>Phase 4 — Marketing Core Pages (30 routes)</t>
        </is>
      </c>
    </row>
    <row r="94">
      <c r="A94" s="4" t="n"/>
      <c r="B94" s="4" t="inlineStr">
        <is>
          <t>/verify-your-coa</t>
        </is>
      </c>
      <c r="C94" s="13" t="inlineStr">
        <is>
          <t>Done</t>
        </is>
      </c>
      <c r="D94"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4" s="14" t="inlineStr">
        <is>
          <t>Phase 4 — Marketing Core Pages (30 routes)</t>
        </is>
      </c>
    </row>
    <row r="95">
      <c r="A95" s="4" t="n"/>
      <c r="B95" s="4" t="inlineStr">
        <is>
          <t>/price-tracker</t>
        </is>
      </c>
      <c r="C95" s="13" t="inlineStr">
        <is>
          <t>Done</t>
        </is>
      </c>
      <c r="D95"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5" s="14" t="inlineStr">
        <is>
          <t>Phase 4 — Marketing Core Pages (30 routes)</t>
        </is>
      </c>
    </row>
    <row r="96">
      <c r="A96" s="4" t="n"/>
      <c r="B96" s="4" t="inlineStr">
        <is>
          <t>/test-your-peptides</t>
        </is>
      </c>
      <c r="C96" s="13" t="inlineStr">
        <is>
          <t>Done</t>
        </is>
      </c>
      <c r="D96"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6" s="14" t="inlineStr">
        <is>
          <t>Phase 4 — Marketing Core Pages (30 routes)</t>
        </is>
      </c>
    </row>
    <row r="97">
      <c r="A97" s="4" t="n"/>
      <c r="B97" s="4" t="inlineStr">
        <is>
          <t>/peptide-library</t>
        </is>
      </c>
      <c r="C97" s="13" t="inlineStr">
        <is>
          <t>Done</t>
        </is>
      </c>
      <c r="D97"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7" s="14" t="inlineStr">
        <is>
          <t>Phase 4 — Marketing Core Pages (30 routes)</t>
        </is>
      </c>
    </row>
    <row r="98">
      <c r="A98" s="4" t="n"/>
      <c r="B98" s="4" t="inlineStr">
        <is>
          <t>/peptide-hall-of-shame</t>
        </is>
      </c>
      <c r="C98" s="13" t="inlineStr">
        <is>
          <t>Done</t>
        </is>
      </c>
      <c r="D98"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8" s="14" t="inlineStr">
        <is>
          <t>Phase 4 — Marketing Core Pages (30 routes)</t>
        </is>
      </c>
    </row>
    <row r="99">
      <c r="A99" s="4" t="n"/>
      <c r="B99" s="4" t="inlineStr">
        <is>
          <t>/peptide-supply-chain</t>
        </is>
      </c>
      <c r="C99" s="13" t="inlineStr">
        <is>
          <t>Done</t>
        </is>
      </c>
      <c r="D99"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99" s="14" t="inlineStr">
        <is>
          <t>Phase 4 — Marketing Core Pages (30 routes)</t>
        </is>
      </c>
    </row>
    <row r="100">
      <c r="A100" s="4" t="n"/>
      <c r="B100" s="4" t="inlineStr">
        <is>
          <t>/peptide-matrix</t>
        </is>
      </c>
      <c r="C100" s="13" t="inlineStr">
        <is>
          <t>Done</t>
        </is>
      </c>
      <c r="D100"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0" s="14" t="inlineStr">
        <is>
          <t>Phase 4 — Marketing Core Pages (30 routes)</t>
        </is>
      </c>
    </row>
    <row r="101">
      <c r="A101" s="4" t="n"/>
      <c r="B101" s="4" t="inlineStr">
        <is>
          <t>/peptide-watch</t>
        </is>
      </c>
      <c r="C101" s="13" t="inlineStr">
        <is>
          <t>Done</t>
        </is>
      </c>
      <c r="D101"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1" s="14" t="inlineStr">
        <is>
          <t>Phase 4 — Marketing Core Pages (30 routes)</t>
        </is>
      </c>
    </row>
    <row r="102">
      <c r="A102" s="4" t="n"/>
      <c r="B102" s="4" t="inlineStr">
        <is>
          <t>/quiz_25q</t>
        </is>
      </c>
      <c r="C102" s="13" t="inlineStr">
        <is>
          <t>Done</t>
        </is>
      </c>
      <c r="D102"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2" s="14" t="inlineStr">
        <is>
          <t>Phase 4 — Marketing Core Pages (30 routes)</t>
        </is>
      </c>
    </row>
    <row r="103">
      <c r="A103" s="4" t="n"/>
      <c r="B103" s="4" t="inlineStr">
        <is>
          <t>/clock-keeper-part-2</t>
        </is>
      </c>
      <c r="C103" s="13" t="inlineStr">
        <is>
          <t>Done</t>
        </is>
      </c>
      <c r="D103"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3" s="14" t="inlineStr">
        <is>
          <t>Phase 4 — Marketing Core Pages (30 routes)</t>
        </is>
      </c>
    </row>
    <row r="104">
      <c r="A104" s="4" t="n"/>
      <c r="B104" s="4" t="inlineStr">
        <is>
          <t>/charity-scorecard + /charity-scorecard/:slug</t>
        </is>
      </c>
      <c r="C104" s="13" t="inlineStr">
        <is>
          <t>Done</t>
        </is>
      </c>
      <c r="D104"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4" s="14" t="inlineStr">
        <is>
          <t>Phase 4 — Marketing Core Pages (30 routes)</t>
        </is>
      </c>
    </row>
    <row r="105">
      <c r="A105" s="4" t="n"/>
      <c r="B105" s="4" t="inlineStr">
        <is>
          <t>/find-your-journey</t>
        </is>
      </c>
      <c r="C105" s="13" t="inlineStr">
        <is>
          <t>Done</t>
        </is>
      </c>
      <c r="D105"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5" s="14" t="inlineStr">
        <is>
          <t>Phase 4 — Marketing Core Pages (30 routes)</t>
        </is>
      </c>
    </row>
    <row r="106">
      <c r="A106" s="4" t="n"/>
      <c r="B106" s="4" t="inlineStr">
        <is>
          <t>/skippy</t>
        </is>
      </c>
      <c r="C106" s="13" t="inlineStr">
        <is>
          <t>Done</t>
        </is>
      </c>
      <c r="D106"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6" s="14" t="inlineStr">
        <is>
          <t>Phase 4 — Marketing Core Pages (30 routes)</t>
        </is>
      </c>
    </row>
    <row r="107">
      <c r="A107" s="4" t="n"/>
      <c r="B107" s="4" t="inlineStr">
        <is>
          <t>/ecosystem-map</t>
        </is>
      </c>
      <c r="C107" s="13" t="inlineStr">
        <is>
          <t>Done</t>
        </is>
      </c>
      <c r="D107"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7" s="14" t="inlineStr">
        <is>
          <t>Phase 4 — Marketing Core Pages (30 routes)</t>
        </is>
      </c>
    </row>
    <row r="108">
      <c r="A108" s="4" t="n"/>
      <c r="B108" s="4" t="inlineStr">
        <is>
          <t>/my-highlights</t>
        </is>
      </c>
      <c r="C108" s="13" t="inlineStr">
        <is>
          <t>Done</t>
        </is>
      </c>
      <c r="D108"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8" s="14" t="inlineStr">
        <is>
          <t>Phase 4 — Marketing Core Pages (30 routes)</t>
        </is>
      </c>
    </row>
    <row r="109">
      <c r="A109" s="4" t="n"/>
      <c r="B109" s="4" t="inlineStr">
        <is>
          <t>/my-impact</t>
        </is>
      </c>
      <c r="C109" s="13" t="inlineStr">
        <is>
          <t>Done</t>
        </is>
      </c>
      <c r="D109"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09" s="14" t="inlineStr">
        <is>
          <t>Phase 4 — Marketing Core Pages (30 routes)</t>
        </is>
      </c>
    </row>
    <row r="110">
      <c r="A110" s="4" t="n"/>
      <c r="B110" s="4" t="inlineStr">
        <is>
          <t>/friend-gate</t>
        </is>
      </c>
      <c r="C110" s="13" t="inlineStr">
        <is>
          <t>Done</t>
        </is>
      </c>
      <c r="D110"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0" s="14" t="inlineStr">
        <is>
          <t>Phase 4 — Marketing Core Pages (30 routes)</t>
        </is>
      </c>
    </row>
    <row r="111">
      <c r="A111" s="4" t="n"/>
      <c r="B111" s="4" t="inlineStr">
        <is>
          <t>/friend-survey/:token</t>
        </is>
      </c>
      <c r="C111" s="13" t="inlineStr">
        <is>
          <t>Done</t>
        </is>
      </c>
      <c r="D111"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1" s="14" t="inlineStr">
        <is>
          <t>Phase 4 — Marketing Core Pages (30 routes)</t>
        </is>
      </c>
    </row>
    <row r="112">
      <c r="A112" s="4" t="n"/>
      <c r="B112" s="4" t="inlineStr">
        <is>
          <t>/impact-dashboard</t>
        </is>
      </c>
      <c r="C112" s="13" t="inlineStr">
        <is>
          <t>Done</t>
        </is>
      </c>
      <c r="D112"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2" s="14" t="inlineStr">
        <is>
          <t>Phase 4 — Marketing Core Pages (30 routes)</t>
        </is>
      </c>
    </row>
    <row r="113">
      <c r="A113" s="4" t="n"/>
      <c r="B113" s="4" t="inlineStr">
        <is>
          <t>/medicine-sequencing</t>
        </is>
      </c>
      <c r="C113" s="13" t="inlineStr">
        <is>
          <t>Done</t>
        </is>
      </c>
      <c r="D113"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3" s="14" t="inlineStr">
        <is>
          <t>Phase 4 — Marketing Core Pages (30 routes)</t>
        </is>
      </c>
    </row>
    <row r="114">
      <c r="A114" s="4" t="n"/>
      <c r="B114" s="4" t="inlineStr">
        <is>
          <t>/the-philosophy</t>
        </is>
      </c>
      <c r="C114" s="13" t="inlineStr">
        <is>
          <t>Done</t>
        </is>
      </c>
      <c r="D114"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4" s="14" t="inlineStr">
        <is>
          <t>Phase 4 — Marketing Core Pages (30 routes)</t>
        </is>
      </c>
    </row>
    <row r="115">
      <c r="A115" s="4" t="n"/>
      <c r="B115" s="4" t="inlineStr">
        <is>
          <t>/post-intervention</t>
        </is>
      </c>
      <c r="C115" s="13" t="inlineStr">
        <is>
          <t>Done</t>
        </is>
      </c>
      <c r="D115"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5" s="14" t="inlineStr">
        <is>
          <t>Phase 4 — Marketing Core Pages (30 routes)</t>
        </is>
      </c>
    </row>
    <row r="116">
      <c r="A116" s="4" t="n"/>
      <c r="B116" s="4" t="inlineStr">
        <is>
          <t>/flow-circuit</t>
        </is>
      </c>
      <c r="C116" s="13" t="inlineStr">
        <is>
          <t>Done</t>
        </is>
      </c>
      <c r="D116"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6" s="14" t="inlineStr">
        <is>
          <t>Phase 4 — Marketing Core Pages (30 routes)</t>
        </is>
      </c>
    </row>
    <row r="117">
      <c r="A117" s="4" t="n"/>
      <c r="B117" s="4" t="inlineStr">
        <is>
          <t>/supplier-intake + /supplier-intake-long/:token</t>
        </is>
      </c>
      <c r="C117" s="13" t="inlineStr">
        <is>
          <t>Done</t>
        </is>
      </c>
      <c r="D117"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7" s="14" t="inlineStr">
        <is>
          <t>Phase 4 — Marketing Core Pages (30 routes)</t>
        </is>
      </c>
    </row>
    <row r="118">
      <c r="A118" s="4" t="n"/>
      <c r="B118" s="4" t="inlineStr">
        <is>
          <t>/subscribe</t>
        </is>
      </c>
      <c r="C118" s="13" t="inlineStr">
        <is>
          <t>Done</t>
        </is>
      </c>
      <c r="D118"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8" s="14" t="inlineStr">
        <is>
          <t>Phase 4 — Marketing Core Pages (30 routes)</t>
        </is>
      </c>
    </row>
    <row r="119">
      <c r="A119" s="4" t="n"/>
      <c r="B119" s="4" t="inlineStr">
        <is>
          <t>/shop, /payment-success, /payment-cancel</t>
        </is>
      </c>
      <c r="C119" s="16" t="inlineStr">
        <is>
          <t>Deferred</t>
        </is>
      </c>
      <c r="D119" s="4" t="inlineStr">
        <is>
          <t>defer: these are Stripe-backed; flag for the later billing-migration phase, do not port checkout logic yet, static/informational content only if ported now</t>
        </is>
      </c>
      <c r="E119" s="14" t="inlineStr">
        <is>
          <t>Phase 4 — Marketing Core Pages (30 routes)</t>
        </is>
      </c>
    </row>
    <row r="120">
      <c r="A120" s="4" t="n"/>
      <c r="B120" s="4" t="inlineStr">
        <is>
          <t>Drop dead code, do not port</t>
        </is>
      </c>
      <c r="C120" s="13" t="inlineStr">
        <is>
          <t>Done</t>
        </is>
      </c>
      <c r="D120"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0" s="14" t="inlineStr">
        <is>
          <t>Phase 4 — Marketing Core Pages (30 routes)</t>
        </is>
      </c>
    </row>
    <row r="121">
      <c r="A121" s="4" t="n"/>
      <c r="B121" s="4" t="inlineStr">
        <is>
          <t>/america-unbundled-field-guide</t>
        </is>
      </c>
      <c r="C121" s="13" t="inlineStr">
        <is>
          <t>Done</t>
        </is>
      </c>
      <c r="D121"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1" s="14" t="inlineStr">
        <is>
          <t>Phase 4 — Marketing Core Pages (30 routes)</t>
        </is>
      </c>
    </row>
    <row r="122">
      <c r="A122" s="4" t="n"/>
      <c r="B122" s="4" t="inlineStr">
        <is>
          <t>/america-unbundled</t>
        </is>
      </c>
      <c r="C122" s="13" t="inlineStr">
        <is>
          <t>Done</t>
        </is>
      </c>
      <c r="D122"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2" s="14" t="inlineStr">
        <is>
          <t>Phase 4 — Marketing Core Pages (30 routes)</t>
        </is>
      </c>
    </row>
    <row r="123">
      <c r="A123" s="10" t="inlineStr">
        <is>
          <t>Phase 5 — Blog Engine (Sanity-backed)</t>
        </is>
      </c>
      <c r="B123" s="11" t="n"/>
      <c r="C123" s="11" t="n"/>
      <c r="D123" s="12" t="n"/>
    </row>
    <row r="124">
      <c r="A124" s="4" t="n"/>
      <c r="B124" s="4" t="inlineStr">
        <is>
          <t>/ and /blog</t>
        </is>
      </c>
      <c r="C124" s="13" t="inlineStr">
        <is>
          <t>Done</t>
        </is>
      </c>
      <c r="D124" s="4" t="inlineStr">
        <is>
          <t>blog index, paginated (12/page), category filter pills, real Sanity data — verified live: 200 OK, real post links, real category links</t>
        </is>
      </c>
      <c r="E124" s="14" t="inlineStr">
        <is>
          <t>Phase 5 — Blog Engine (Sanity-backed)</t>
        </is>
      </c>
    </row>
    <row r="125">
      <c r="A125" s="4" t="n"/>
      <c r="B125" s="4" t="inlineStr">
        <is>
          <t>/blog/[slug]</t>
        </is>
      </c>
      <c r="C125" s="13" t="inlineStr">
        <is>
          <t>Done</t>
        </is>
      </c>
      <c r="D125"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5" s="14" t="inlineStr">
        <is>
          <t>Phase 5 — Blog Engine (Sanity-backed)</t>
        </is>
      </c>
    </row>
    <row r="126">
      <c r="A126" s="4" t="n"/>
      <c r="B126" s="4" t="inlineStr">
        <is>
          <t>/blog/category/[slug]</t>
        </is>
      </c>
      <c r="C126" s="13" t="inlineStr">
        <is>
          <t>Done</t>
        </is>
      </c>
      <c r="D126" s="4" t="inlineStr">
        <is>
          <t>category listing + pagination (not explicitly in the original phase list, but linked from the index's category pills — built so that link isn't a 404; own quality bar already requires "every page links to 2+", not dead links)</t>
        </is>
      </c>
      <c r="E126" s="14" t="inlineStr">
        <is>
          <t>Phase 5 — Blog Engine (Sanity-backed)</t>
        </is>
      </c>
    </row>
    <row r="127">
      <c r="A127" s="4" t="n"/>
      <c r="B127" s="4" t="inlineStr">
        <is>
          <t>generateStaticParams for all post slugs and category slugs (SSG)</t>
        </is>
      </c>
      <c r="C127" s="13" t="inlineStr">
        <is>
          <t>Done</t>
        </is>
      </c>
      <c r="D127" s="4" t="inlineStr"/>
      <c r="E127" s="14" t="inlineStr">
        <is>
          <t>Phase 5 — Blog Engine (Sanity-backed)</t>
        </is>
      </c>
    </row>
    <row r="128">
      <c r="A128" s="4" t="n"/>
      <c r="B128" s="4" t="inlineStr">
        <is>
          <t>sitemap.ts already live from real Sanity data (122 URLs verified</t>
        </is>
      </c>
      <c r="C128" s="13" t="inlineStr">
        <is>
          <t>Done</t>
        </is>
      </c>
      <c r="D128" s="4" t="inlineStr">
        <is>
          <t>homepage + 121 posts)</t>
        </is>
      </c>
      <c r="E128" s="14" t="inlineStr">
        <is>
          <t>Phase 5 — Blog Engine (Sanity-backed)</t>
        </is>
      </c>
    </row>
    <row r="129">
      <c r="A129" s="4" t="n"/>
      <c r="B129" s="4" t="inlineStr">
        <is>
          <t>/search</t>
        </is>
      </c>
      <c r="C129" s="13" t="inlineStr">
        <is>
          <t>Done</t>
        </is>
      </c>
      <c r="D129"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29" s="14" t="inlineStr">
        <is>
          <t>Phase 5 — Blog Engine (Sanity-backed)</t>
        </is>
      </c>
    </row>
    <row r="130">
      <c r="A130" s="4" t="n"/>
      <c r="B130" s="4" t="inlineStr">
        <is>
          <t>Header search icon → command-palette modal, matching legacy's real SearchPalette.tsx UX (a page-navigation link before this)</t>
        </is>
      </c>
      <c r="C130" s="13" t="inlineStr">
        <is>
          <t>Done</t>
        </is>
      </c>
      <c r="D130"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0" s="14" t="inlineStr">
        <is>
          <t>Phase 5 — Blog Engine (Sanity-backed)</t>
        </is>
      </c>
    </row>
    <row r="131">
      <c r="A131" s="4" t="n"/>
      <c r="B131" s="4" t="inlineStr">
        <is>
          <t>/articles</t>
        </is>
      </c>
      <c r="C131" s="13" t="inlineStr">
        <is>
          <t>Done</t>
        </is>
      </c>
      <c r="D131"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1" s="14" t="inlineStr">
        <is>
          <t>Phase 5 — Blog Engine (Sanity-backed)</t>
        </is>
      </c>
    </row>
    <row r="132">
      <c r="A132" s="4" t="n"/>
      <c r="B132" s="4" t="inlineStr">
        <is>
          <t>/thesis-threads</t>
        </is>
      </c>
      <c r="C132" s="13" t="inlineStr">
        <is>
          <t>Done</t>
        </is>
      </c>
      <c r="D132"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2" s="14" t="inlineStr">
        <is>
          <t>Phase 5 — Blog Engine (Sanity-backed)</t>
        </is>
      </c>
    </row>
    <row r="133">
      <c r="A133" s="4" t="n"/>
      <c r="B133" s="4" t="inlineStr">
        <is>
          <t>/impact-futurism</t>
        </is>
      </c>
      <c r="C133" s="13" t="inlineStr">
        <is>
          <t>Done</t>
        </is>
      </c>
      <c r="D133"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3" s="14" t="inlineStr">
        <is>
          <t>Phase 5 — Blog Engine (Sanity-backed)</t>
        </is>
      </c>
    </row>
    <row r="134">
      <c r="A134" s="4" t="n"/>
      <c r="B134" s="4" t="inlineStr">
        <is>
          <t>On-demand webhook-triggered revalidation on Sanity publish (built, not yet pushed</t>
        </is>
      </c>
      <c r="C134" s="13" t="inlineStr">
        <is>
          <t>Done</t>
        </is>
      </c>
      <c r="D134"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4" s="14" t="inlineStr">
        <is>
          <t>Phase 5 — Blog Engine (Sanity-backed)</t>
        </is>
      </c>
    </row>
    <row r="135">
      <c r="A135" s="4" t="n"/>
      <c r="B135" s="4" t="inlineStr">
        <is>
          <t>Article footer standardization (built, not yet pushed</t>
        </is>
      </c>
      <c r="C135" s="13" t="inlineStr">
        <is>
          <t>Done</t>
        </is>
      </c>
      <c r="D135"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5" s="14" t="inlineStr">
        <is>
          <t>Phase 5 — Blog Engine (Sanity-backed)</t>
        </is>
      </c>
    </row>
    <row r="136">
      <c r="A136" s="4" t="n"/>
      <c r="B136" s="4" t="inlineStr">
        <is>
          <t>Spot-check all 121 migrated posts' body formatting (automated, not a Studio visual pass</t>
        </is>
      </c>
      <c r="C136" s="13" t="inlineStr">
        <is>
          <t>Done</t>
        </is>
      </c>
      <c r="D136"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6" s="14" t="inlineStr">
        <is>
          <t>Phase 5 — Blog Engine (Sanity-backed)</t>
        </is>
      </c>
    </row>
    <row r="137">
      <c r="A137" s="4" t="n"/>
      <c r="B137" s="4" t="inlineStr">
        <is>
          <t>Reconcile blogData.json vs. the legacy blogPosts.ts module. Resolved</t>
        </is>
      </c>
      <c r="C137" s="13" t="inlineStr">
        <is>
          <t>Done</t>
        </is>
      </c>
      <c r="D137"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7" s="14" t="inlineStr">
        <is>
          <t>Phase 5 — Blog Engine (Sanity-backed)</t>
        </is>
      </c>
    </row>
    <row r="138">
      <c r="A138" s="4" t="n"/>
      <c r="B138" s="4" t="inlineStr">
        <is>
          <t>Preserve internal cross-link structure from client/src/data/linkMap.ts / readingPaths.ts (built, not yet pushed</t>
        </is>
      </c>
      <c r="C138" s="13" t="inlineStr">
        <is>
          <t>Done</t>
        </is>
      </c>
      <c r="D138" s="4" t="inlineStr">
        <is>
          <t>pending local review). Both ported as real, working features, not just cross-referenced.</t>
        </is>
      </c>
      <c r="E138" s="14" t="inlineStr">
        <is>
          <t>Phase 5 — Blog Engine (Sanity-backed)</t>
        </is>
      </c>
    </row>
    <row r="139">
      <c r="A139" s="4" t="n"/>
      <c r="B139" s="4" t="inlineStr">
        <is>
          <t>Post extras from live (2026-10-01)</t>
        </is>
      </c>
      <c r="C139" s="13" t="inlineStr">
        <is>
          <t>Done</t>
        </is>
      </c>
      <c r="D139"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39" s="14" t="inlineStr">
        <is>
          <t>Phase 5 — Blog Engine (Sanity-backed)</t>
        </is>
      </c>
    </row>
    <row r="140">
      <c r="A140" s="4" t="n"/>
      <c r="B140" s="4" t="inlineStr">
        <is>
          <t>Lost tables restored (2026-10-01)</t>
        </is>
      </c>
      <c r="C140" s="13" t="inlineStr">
        <is>
          <t>Done</t>
        </is>
      </c>
      <c r="D140"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0" s="14" t="inlineStr">
        <is>
          <t>Phase 5 — Blog Engine (Sanity-backed)</t>
        </is>
      </c>
    </row>
    <row r="141">
      <c r="A141" s="4" t="n"/>
      <c r="B141" s="4" t="inlineStr">
        <is>
          <t>Essays rewritten on live, saved as Sanity drafts (2026-10-01)</t>
        </is>
      </c>
      <c r="C141" s="13" t="inlineStr">
        <is>
          <t>Done</t>
        </is>
      </c>
      <c r="D141"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1" s="14" t="inlineStr">
        <is>
          <t>Phase 5 — Blog Engine (Sanity-backed)</t>
        </is>
      </c>
    </row>
    <row r="142">
      <c r="A142" s="4" t="n"/>
      <c r="B142" s="4" t="inlineStr">
        <is>
          <t>Password gate on you-are-the-moat (done 2026-10-06, owner chose a password)</t>
        </is>
      </c>
      <c r="C142" s="13" t="inlineStr">
        <is>
          <t>Done</t>
        </is>
      </c>
      <c r="D142"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2" s="14" t="inlineStr">
        <is>
          <t>Phase 5 — Blog Engine (Sanity-backed)</t>
        </is>
      </c>
    </row>
    <row r="143">
      <c r="A143" s="4" t="n"/>
      <c r="B143" s="4" t="inlineStr">
        <is>
          <t>Essay page rebuilt to match live (2026-10-07, asked for by the team)</t>
        </is>
      </c>
      <c r="C143" s="13" t="inlineStr">
        <is>
          <t>Done</t>
        </is>
      </c>
      <c r="D143"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3" s="14" t="inlineStr">
        <is>
          <t>Phase 5 — Blog Engine (Sanity-backed)</t>
        </is>
      </c>
    </row>
    <row r="144">
      <c r="A144" s="4" t="n"/>
      <c r="B144" s="4" t="inlineStr">
        <is>
          <t>Essay extras moved into Sanity (2026-10-07, owner chose "publish directly")</t>
        </is>
      </c>
      <c r="C144" s="13" t="inlineStr">
        <is>
          <t>Done</t>
        </is>
      </c>
      <c r="D144"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4" s="14" t="inlineStr">
        <is>
          <t>Phase 5 — Blog Engine (Sanity-backed)</t>
        </is>
      </c>
    </row>
    <row r="145">
      <c r="A145" s="4" t="n"/>
      <c r="B145" s="4" t="inlineStr">
        <is>
          <t>"Original post / Updated for today" switch (2026-10-07; was decision 20)</t>
        </is>
      </c>
      <c r="C145" s="13" t="inlineStr">
        <is>
          <t>Done</t>
        </is>
      </c>
      <c r="D145"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5" s="14" t="inlineStr">
        <is>
          <t>Phase 5 — Blog Engine (Sanity-backed)</t>
        </is>
      </c>
    </row>
    <row r="146">
      <c r="A146" s="4" t="n"/>
      <c r="B146" s="4" t="inlineStr">
        <is>
          <t>The 2 live-only essays imported (2026-10-07; was decision 8)</t>
        </is>
      </c>
      <c r="C146" s="13" t="inlineStr">
        <is>
          <t>Done</t>
        </is>
      </c>
      <c r="D146"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6" s="14" t="inlineStr">
        <is>
          <t>Phase 5 — Blog Engine (Sanity-backed)</t>
        </is>
      </c>
    </row>
    <row r="147">
      <c r="A147" s="4" t="n"/>
      <c r="B147" s="4" t="inlineStr">
        <is>
          <t>Pending drafts published (2026-10-07, owner said yes; was decision 18)</t>
        </is>
      </c>
      <c r="C147" s="13" t="inlineStr">
        <is>
          <t>Done</t>
        </is>
      </c>
      <c r="D147" s="4" t="inlineStr">
        <is>
          <t>all 31 post drafts (44 tables on 17 posts, the essays brought in line with live including Your Blood's new hero, link and clean-up fixes). No drafts left. Creation dates checked unchanged (the heading rules depend on them).</t>
        </is>
      </c>
      <c r="E147" s="14" t="inlineStr">
        <is>
          <t>Phase 5 — Blog Engine (Sanity-backed)</t>
        </is>
      </c>
    </row>
    <row r="148">
      <c r="A148" s="4" t="n"/>
      <c r="B148" s="4" t="inlineStr">
        <is>
          <t>Per-post fixes from the 2026-10-07 sweep (all 123 live/our posts compared)</t>
        </is>
      </c>
      <c r="C148" s="13" t="inlineStr">
        <is>
          <t>Done</t>
        </is>
      </c>
      <c r="D148"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8" s="14" t="inlineStr">
        <is>
          <t>Phase 5 — Blog Engine (Sanity-backed)</t>
        </is>
      </c>
    </row>
    <row r="149">
      <c r="A149" s="4" t="n"/>
      <c r="B149" s="4" t="inlineStr">
        <is>
          <t>Reader engagement (2026-10-07)</t>
        </is>
      </c>
      <c r="C149" s="13" t="inlineStr">
        <is>
          <t>Done</t>
        </is>
      </c>
      <c r="D149"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49" s="14" t="inlineStr">
        <is>
          <t>Phase 5 — Blog Engine (Sanity-backed)</t>
        </is>
      </c>
    </row>
    <row r="150">
      <c r="A150" s="10" t="inlineStr">
        <is>
          <t>Phase 6 — BrewSoul (28 routes)</t>
        </is>
      </c>
      <c r="B150" s="11" t="n"/>
      <c r="C150" s="11" t="n"/>
      <c r="D150" s="12" t="n"/>
    </row>
    <row r="151">
      <c r="A151" s="4" t="n"/>
      <c r="B151" s="4" t="inlineStr">
        <is>
          <t>/brewsoul</t>
        </is>
      </c>
      <c r="C151" s="13" t="inlineStr">
        <is>
          <t>Done</t>
        </is>
      </c>
      <c r="D151"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1" s="14" t="inlineStr">
        <is>
          <t>Phase 6 — BrewSoul (28 routes)</t>
        </is>
      </c>
    </row>
    <row r="152">
      <c r="A152" s="4" t="n"/>
      <c r="B152" s="4" t="inlineStr">
        <is>
          <t>/brewsoul/first-sip</t>
        </is>
      </c>
      <c r="C152" s="13" t="inlineStr">
        <is>
          <t>Done</t>
        </is>
      </c>
      <c r="D152"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2" s="14" t="inlineStr">
        <is>
          <t>Phase 6 — BrewSoul (28 routes)</t>
        </is>
      </c>
    </row>
    <row r="153">
      <c r="A153" s="4" t="n"/>
      <c r="B153" s="4" t="inlineStr">
        <is>
          <t>/brewsoul/home</t>
        </is>
      </c>
      <c r="C153" s="13" t="inlineStr">
        <is>
          <t>Done</t>
        </is>
      </c>
      <c r="D153"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3" s="14" t="inlineStr">
        <is>
          <t>Phase 6 — BrewSoul (28 routes)</t>
        </is>
      </c>
    </row>
    <row r="154">
      <c r="A154" s="4" t="n"/>
      <c r="B154" s="4" t="inlineStr">
        <is>
          <t>/brewsoul/browse</t>
        </is>
      </c>
      <c r="C154" s="13" t="inlineStr">
        <is>
          <t>Done</t>
        </is>
      </c>
      <c r="D154" s="4" t="inlineStr">
        <is>
          <t>coffee listing (components/brewsoul/browse-explorer.tsx), real filter/search over the full BREWSOUL_COFFEES catalog. Verified live: 200 OK.</t>
        </is>
      </c>
      <c r="E154" s="14" t="inlineStr">
        <is>
          <t>Phase 6 — BrewSoul (28 routes)</t>
        </is>
      </c>
    </row>
    <row r="155">
      <c r="A155" s="4" t="n"/>
      <c r="B155" s="4" t="inlineStr">
        <is>
          <t>/brewsoul/coffee/[id]</t>
        </is>
      </c>
      <c r="C155" s="13" t="inlineStr">
        <is>
          <t>Done</t>
        </is>
      </c>
      <c r="D155"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5" s="14" t="inlineStr">
        <is>
          <t>Phase 6 — BrewSoul (28 routes)</t>
        </is>
      </c>
    </row>
    <row r="156">
      <c r="A156" s="4" t="n"/>
      <c r="B156" s="4" t="inlineStr">
        <is>
          <t>/brewsoul/quiz</t>
        </is>
      </c>
      <c r="C156" s="13" t="inlineStr">
        <is>
          <t>Done</t>
        </is>
      </c>
      <c r="D156"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6" s="14" t="inlineStr">
        <is>
          <t>Phase 6 — BrewSoul (28 routes)</t>
        </is>
      </c>
    </row>
    <row r="157">
      <c r="A157" s="4" t="n"/>
      <c r="B157" s="4" t="inlineStr">
        <is>
          <t>/brewsoul/wall-of-shame</t>
        </is>
      </c>
      <c r="C157" s="13" t="inlineStr">
        <is>
          <t>Done</t>
        </is>
      </c>
      <c r="D157"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7" s="14" t="inlineStr">
        <is>
          <t>Phase 6 — BrewSoul (28 routes)</t>
        </is>
      </c>
    </row>
    <row r="158">
      <c r="A158" s="4" t="n"/>
      <c r="B158" s="4" t="inlineStr">
        <is>
          <t>/brewsoul/follow-the-dollar</t>
        </is>
      </c>
      <c r="C158" s="13" t="inlineStr">
        <is>
          <t>Done</t>
        </is>
      </c>
      <c r="D158"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8" s="14" t="inlineStr">
        <is>
          <t>Phase 6 — BrewSoul (28 routes)</t>
        </is>
      </c>
    </row>
    <row r="159">
      <c r="A159" s="4" t="n"/>
      <c r="B159" s="4" t="inlineStr">
        <is>
          <t>/brewsoul/farms</t>
        </is>
      </c>
      <c r="C159" s="13" t="inlineStr">
        <is>
          <t>Done</t>
        </is>
      </c>
      <c r="D159" s="4" t="inlineStr">
        <is>
          <t>sourcing content ("Farm Passports"). Real FARMS entries (country/region/producer/altitude/story/varieties/certifications), unchanged. Fully static. Verified live: 200 OK.</t>
        </is>
      </c>
      <c r="E159" s="14" t="inlineStr">
        <is>
          <t>Phase 6 — BrewSoul (28 routes)</t>
        </is>
      </c>
    </row>
    <row r="160">
      <c r="A160" s="4" t="n"/>
      <c r="B160" s="4" t="inlineStr">
        <is>
          <t>/brewsoul/mold-free</t>
        </is>
      </c>
      <c r="C160" s="13" t="inlineStr">
        <is>
          <t>Done</t>
        </is>
      </c>
      <c r="D160" s="4" t="inlineStr">
        <is>
          <t>mycotoxin content. Real verified/claims/untested split computed live over the full BREWSOUL_COFFEES catalog by moldTestStatus. Fully static. Verified live: 200 OK.</t>
        </is>
      </c>
      <c r="E160" s="14" t="inlineStr">
        <is>
          <t>Phase 6 — BrewSoul (28 routes)</t>
        </is>
      </c>
    </row>
    <row r="161">
      <c r="A161" s="4" t="n"/>
      <c r="B161" s="4" t="inlineStr">
        <is>
          <t>/brewsoul/experiences</t>
        </is>
      </c>
      <c r="C161" s="13" t="inlineStr">
        <is>
          <t>Done</t>
        </is>
      </c>
      <c r="D161"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1" s="14" t="inlineStr">
        <is>
          <t>Phase 6 — BrewSoul (28 routes)</t>
        </is>
      </c>
    </row>
    <row r="162">
      <c r="A162" s="4" t="n"/>
      <c r="B162" s="4" t="inlineStr">
        <is>
          <t>/brewsoul/health</t>
        </is>
      </c>
      <c r="C162" s="13" t="inlineStr">
        <is>
          <t>Done</t>
        </is>
      </c>
      <c r="D162"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2" s="14" t="inlineStr">
        <is>
          <t>Phase 6 — BrewSoul (28 routes)</t>
        </is>
      </c>
    </row>
    <row r="163">
      <c r="A163" s="4" t="n"/>
      <c r="B163" s="4" t="inlineStr">
        <is>
          <t>/brewsoul/varieties</t>
        </is>
      </c>
      <c r="C163" s="13" t="inlineStr">
        <is>
          <t>Done</t>
        </is>
      </c>
      <c r="D163" s="4" t="inlineStr">
        <is>
          <t>reference: varieties. Real VARIETIES encyclopedia entries (species/origin/genetics/cup profile/yield/disease resistance), unchanged. Search extracted into components/brewsoul/varieties-explorer.tsx. Verified live: 200 OK.</t>
        </is>
      </c>
      <c r="E163" s="14" t="inlineStr">
        <is>
          <t>Phase 6 — BrewSoul (28 routes)</t>
        </is>
      </c>
    </row>
    <row r="164">
      <c r="A164" s="4" t="n"/>
      <c r="B164" s="4" t="inlineStr">
        <is>
          <t>/brewsoul/processing</t>
        </is>
      </c>
      <c r="C164" s="13" t="inlineStr">
        <is>
          <t>Done</t>
        </is>
      </c>
      <c r="D164" s="4" t="inlineStr">
        <is>
          <t>reference: processing. Real PROCESSING_METHODS entries (description/flavor impact/complexity/controversy), unchanged. Fully static. Verified live: 200 OK.</t>
        </is>
      </c>
      <c r="E164" s="14" t="inlineStr">
        <is>
          <t>Phase 6 — BrewSoul (28 routes)</t>
        </is>
      </c>
    </row>
    <row r="165">
      <c r="A165" s="4" t="n"/>
      <c r="B165" s="4" t="inlineStr">
        <is>
          <t>/brewsoul/roasters</t>
        </is>
      </c>
      <c r="C165" s="13" t="inlineStr">
        <is>
          <t>Done</t>
        </is>
      </c>
      <c r="D165" s="4" t="inlineStr">
        <is>
          <t>reference: roaster directory. Real ROASTERS entries (philosophy/quality/transparency/farmer-equity scores), unchanged. Search + tier filter extracted into components/brewsoul/roasters-explorer.tsx. Verified live: 200 OK.</t>
        </is>
      </c>
      <c r="E165" s="14" t="inlineStr">
        <is>
          <t>Phase 6 — BrewSoul (28 routes)</t>
        </is>
      </c>
    </row>
    <row r="166">
      <c r="A166" s="4" t="n"/>
      <c r="B166" s="4" t="inlineStr">
        <is>
          <t>/brewsoul/glossary</t>
        </is>
      </c>
      <c r="C166" s="13" t="inlineStr">
        <is>
          <t>Done</t>
        </is>
      </c>
      <c r="D166" s="4" t="inlineStr">
        <is>
          <t>reference: glossary. Real GLOSSARY terms, unchanged. Search + alphabetical grouping extracted into components/brewsoul/glossary-explorer.tsx. Verified live: 200 OK.</t>
        </is>
      </c>
      <c r="E166" s="14" t="inlineStr">
        <is>
          <t>Phase 6 — BrewSoul (28 routes)</t>
        </is>
      </c>
    </row>
    <row r="167">
      <c r="A167" s="4" t="n"/>
      <c r="B167" s="4" t="inlineStr">
        <is>
          <t>/brewsoul/pairings</t>
        </is>
      </c>
      <c r="C167" s="13" t="inlineStr">
        <is>
          <t>Done</t>
        </is>
      </c>
      <c r="D167" s="4" t="inlineStr">
        <is>
          <t>reference: pairings. Real PAIRINGS (food/drink pairings by origin) and 3 real curated FLIGHTS (each linking to real coffees in the catalog), unchanged. Fully static. Verified live: 200 OK.</t>
        </is>
      </c>
      <c r="E167" s="14" t="inlineStr">
        <is>
          <t>Phase 6 — BrewSoul (28 routes)</t>
        </is>
      </c>
    </row>
    <row r="168">
      <c r="A168" s="4" t="n"/>
      <c r="B168" s="4" t="inlineStr">
        <is>
          <t>/brewsoul/economics</t>
        </is>
      </c>
      <c r="C168" s="13" t="inlineStr">
        <is>
          <t>Done</t>
        </is>
      </c>
      <c r="D168"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8" s="14" t="inlineStr">
        <is>
          <t>Phase 6 — BrewSoul (28 routes)</t>
        </is>
      </c>
    </row>
    <row r="169">
      <c r="A169" s="4" t="n"/>
      <c r="B169" s="4" t="inlineStr">
        <is>
          <t>/brewsoul/compare</t>
        </is>
      </c>
      <c r="C169" s="13" t="inlineStr">
        <is>
          <t>Done</t>
        </is>
      </c>
      <c r="D169"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69" s="14" t="inlineStr">
        <is>
          <t>Phase 6 — BrewSoul (28 routes)</t>
        </is>
      </c>
    </row>
    <row r="170">
      <c r="A170" s="4" t="n"/>
      <c r="B170" s="4" t="inlineStr">
        <is>
          <t>/brewsoul/blend-builder</t>
        </is>
      </c>
      <c r="C170" s="13" t="inlineStr">
        <is>
          <t>Done</t>
        </is>
      </c>
      <c r="D170"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0" s="14" t="inlineStr">
        <is>
          <t>Phase 6 — BrewSoul (28 routes)</t>
        </is>
      </c>
    </row>
    <row r="171">
      <c r="A171" s="4" t="n"/>
      <c r="B171" s="4" t="inlineStr">
        <is>
          <t>/brewsoul/drops</t>
        </is>
      </c>
      <c r="C171" s="13" t="inlineStr">
        <is>
          <t>Done</t>
        </is>
      </c>
      <c r="D171" s="4" t="inlineStr">
        <is>
          <t>tool: product drops ("Latest Drops"). Real top-12-by-overall-score coffees. No client-side state at all (legacy's own useMemo had no changing dependencies — a pure derived list), so this ships as a plain Server Component. Verified live: 200 OK.</t>
        </is>
      </c>
      <c r="E171" s="14" t="inlineStr">
        <is>
          <t>Phase 6 — BrewSoul (28 routes)</t>
        </is>
      </c>
    </row>
    <row r="172">
      <c r="A172" s="4" t="n"/>
      <c r="B172" s="4" t="inlineStr">
        <is>
          <t>/brewsoul/collection</t>
        </is>
      </c>
      <c r="C172" s="13" t="inlineStr">
        <is>
          <t>Done</t>
        </is>
      </c>
      <c r="D172"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2" s="14" t="inlineStr">
        <is>
          <t>Phase 6 — BrewSoul (28 routes)</t>
        </is>
      </c>
    </row>
    <row r="173">
      <c r="A173" s="4" t="n"/>
      <c r="B173" s="4" t="inlineStr">
        <is>
          <t>/brewsoul/submit</t>
        </is>
      </c>
      <c r="C173" s="13" t="inlineStr">
        <is>
          <t>Done</t>
        </is>
      </c>
      <c r="D173"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3" s="14" t="inlineStr">
        <is>
          <t>Phase 6 — BrewSoul (28 routes)</t>
        </is>
      </c>
    </row>
    <row r="174">
      <c r="A174" s="4" t="n"/>
      <c r="B174" s="4" t="inlineStr">
        <is>
          <t>/brewsoul/prescription</t>
        </is>
      </c>
      <c r="C174" s="13" t="inlineStr">
        <is>
          <t>Done</t>
        </is>
      </c>
      <c r="D174"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4" s="14" t="inlineStr">
        <is>
          <t>Phase 6 — BrewSoul (28 routes)</t>
        </is>
      </c>
    </row>
    <row r="175">
      <c r="A175" s="4" t="n"/>
      <c r="B175" s="4" t="inlineStr">
        <is>
          <t>/brewsoul/chains</t>
        </is>
      </c>
      <c r="C175" s="13" t="inlineStr">
        <is>
          <t>Done</t>
        </is>
      </c>
      <c r="D175"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5" s="14" t="inlineStr">
        <is>
          <t>Phase 6 — BrewSoul (28 routes)</t>
        </is>
      </c>
    </row>
    <row r="176">
      <c r="A176" s="4" t="n"/>
      <c r="B176" s="4" t="inlineStr">
        <is>
          <t>/brewsoul/biodynamic</t>
        </is>
      </c>
      <c r="C176" s="13" t="inlineStr">
        <is>
          <t>Done</t>
        </is>
      </c>
      <c r="D176"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6" s="14" t="inlineStr">
        <is>
          <t>Phase 6 — BrewSoul (28 routes)</t>
        </is>
      </c>
    </row>
    <row r="177">
      <c r="A177" s="4" t="n"/>
      <c r="B177" s="4" t="inlineStr">
        <is>
          <t>/brewsoul/decaf</t>
        </is>
      </c>
      <c r="C177" s="13" t="inlineStr">
        <is>
          <t>Done</t>
        </is>
      </c>
      <c r="D177"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7" s="14" t="inlineStr">
        <is>
          <t>Phase 6 — BrewSoul (28 routes)</t>
        </is>
      </c>
    </row>
    <row r="178">
      <c r="A178" s="4" t="n"/>
      <c r="B178" s="4" t="inlineStr">
        <is>
          <t>/brewsoul/esoteric</t>
        </is>
      </c>
      <c r="C178" s="13" t="inlineStr">
        <is>
          <t>Done</t>
        </is>
      </c>
      <c r="D178"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8" s="14" t="inlineStr">
        <is>
          <t>Phase 6 — BrewSoul (28 routes)</t>
        </is>
      </c>
    </row>
    <row r="179">
      <c r="A179" s="4" t="n"/>
      <c r="B179" s="4" t="inlineStr">
        <is>
          <t>/brewsoul/cities + /brewsoul/cities/[slug]</t>
        </is>
      </c>
      <c r="C179" s="13" t="inlineStr">
        <is>
          <t>Done</t>
        </is>
      </c>
      <c r="D179"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79" s="14" t="inlineStr">
        <is>
          <t>Phase 6 — BrewSoul (28 routes)</t>
        </is>
      </c>
    </row>
    <row r="180">
      <c r="A180" s="4" t="n"/>
      <c r="B180" s="4" t="inlineStr">
        <is>
          <t>/brewsoul/directory</t>
        </is>
      </c>
      <c r="C180" s="13" t="inlineStr">
        <is>
          <t>Done</t>
        </is>
      </c>
      <c r="D180"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0" s="14" t="inlineStr">
        <is>
          <t>Phase 6 — BrewSoul (28 routes)</t>
        </is>
      </c>
    </row>
    <row r="181">
      <c r="A181" s="4" t="n"/>
      <c r="B181" s="4" t="inlineStr">
        <is>
          <t>/brewsoul/guest + /brewsoul/guest/shanita-nicholas</t>
        </is>
      </c>
      <c r="C181" s="13" t="inlineStr">
        <is>
          <t>Done</t>
        </is>
      </c>
      <c r="D181"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1" s="14" t="inlineStr">
        <is>
          <t>Phase 6 — BrewSoul (28 routes)</t>
        </is>
      </c>
    </row>
    <row r="182">
      <c r="A182" s="4" t="n"/>
      <c r="B182" s="4" t="inlineStr">
        <is>
          <t>Shared: port BrewSoulLayout, CategoryBadge, JourneyBar, NextSteps as Next.js layout/components</t>
        </is>
      </c>
      <c r="C182" s="13" t="inlineStr">
        <is>
          <t>Done</t>
        </is>
      </c>
      <c r="D182" s="4" t="inlineStr">
        <is>
          <t>app/brewsoul/layout.tsx + components/brewsoul/{brewsoul-nav,category-badge,journey-bar,next-steps}.tsx, all built and reused by every /brewsoul/* route above.</t>
        </is>
      </c>
      <c r="E182" s="14" t="inlineStr">
        <is>
          <t>Phase 6 — BrewSoul (28 routes)</t>
        </is>
      </c>
    </row>
    <row r="183">
      <c r="A183" s="10" t="inlineStr">
        <is>
          <t>Phase 7 — PRI &amp; Kava Encyclopedias (19 routes)</t>
        </is>
      </c>
      <c r="B183" s="11" t="n"/>
      <c r="C183" s="11" t="n"/>
      <c r="D183" s="12" t="n"/>
    </row>
    <row r="184">
      <c r="A184" s="4" t="n"/>
      <c r="B184" s="4" t="inlineStr">
        <is>
          <t>Kava shared foundation</t>
        </is>
      </c>
      <c r="C184" s="13" t="inlineStr">
        <is>
          <t>Done</t>
        </is>
      </c>
      <c r="D184"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4" s="14" t="inlineStr">
        <is>
          <t>Phase 7 — PRI &amp; Kava Encyclopedias (19 routes)</t>
        </is>
      </c>
    </row>
    <row r="185">
      <c r="A185" s="4" t="n"/>
      <c r="B185" s="4" t="inlineStr">
        <is>
          <t>/kava (home)</t>
        </is>
      </c>
      <c r="C185" s="13" t="inlineStr">
        <is>
          <t>Done</t>
        </is>
      </c>
      <c r="D185" s="4" t="inlineStr">
        <is>
          <t>9 module cards, "Threshold Doctrine," "Sacred Masculine Triad" (Mezcal/Kava/Peyote), 4 market stats, all ported unchanged. Verified live: 200 OK, exactly 1 header/1 footer (chrome suppression confirmed), typecheck/lint clean.</t>
        </is>
      </c>
      <c r="E185" s="14" t="inlineStr">
        <is>
          <t>Phase 7 — PRI &amp; Kava Encyclopedias (19 routes)</t>
        </is>
      </c>
    </row>
    <row r="186">
      <c r="A186" s="4" t="n"/>
      <c r="B186" s="4" t="inlineStr">
        <is>
          <t>/kava/origins</t>
        </is>
      </c>
      <c r="C186" s="13" t="inlineStr">
        <is>
          <t>Done</t>
        </is>
      </c>
      <c r="D186"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6" s="14" t="inlineStr">
        <is>
          <t>Phase 7 — PRI &amp; Kava Encyclopedias (19 routes)</t>
        </is>
      </c>
    </row>
    <row r="187">
      <c r="A187" s="4" t="n"/>
      <c r="B187" s="4" t="inlineStr">
        <is>
          <t>/kava/interactions</t>
        </is>
      </c>
      <c r="C187" s="13" t="inlineStr">
        <is>
          <t>Done</t>
        </is>
      </c>
      <c r="D187"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7" s="14" t="inlineStr">
        <is>
          <t>Phase 7 — PRI &amp; Kava Encyclopedias (19 routes)</t>
        </is>
      </c>
    </row>
    <row r="188">
      <c r="A188" s="4" t="n"/>
      <c r="B188" s="4" t="inlineStr">
        <is>
          <t>/kava/science</t>
        </is>
      </c>
      <c r="C188" s="13" t="inlineStr">
        <is>
          <t>Done</t>
        </is>
      </c>
      <c r="D188"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8" s="14" t="inlineStr">
        <is>
          <t>Phase 7 — PRI &amp; Kava Encyclopedias (19 routes)</t>
        </is>
      </c>
    </row>
    <row r="189">
      <c r="A189" s="4" t="n"/>
      <c r="B189" s="4" t="inlineStr">
        <is>
          <t>/kava/assessment</t>
        </is>
      </c>
      <c r="C189" s="13" t="inlineStr">
        <is>
          <t>Done</t>
        </is>
      </c>
      <c r="D189"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89" s="14" t="inlineStr">
        <is>
          <t>Phase 7 — PRI &amp; Kava Encyclopedias (19 routes)</t>
        </is>
      </c>
    </row>
    <row r="190">
      <c r="A190" s="4" t="n"/>
      <c r="B190" s="4" t="inlineStr">
        <is>
          <t>/kava/hawaii</t>
        </is>
      </c>
      <c r="C190" s="13" t="inlineStr">
        <is>
          <t>Done</t>
        </is>
      </c>
      <c r="D190"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0" s="14" t="inlineStr">
        <is>
          <t>Phase 7 — PRI &amp; Kava Encyclopedias (19 routes)</t>
        </is>
      </c>
    </row>
    <row r="191">
      <c r="A191" s="4" t="n"/>
      <c r="B191" s="4" t="inlineStr">
        <is>
          <t>/kava/myths</t>
        </is>
      </c>
      <c r="C191" s="13" t="inlineStr">
        <is>
          <t>Done</t>
        </is>
      </c>
      <c r="D191"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1" s="14" t="inlineStr">
        <is>
          <t>Phase 7 — PRI &amp; Kava Encyclopedias (19 routes)</t>
        </is>
      </c>
    </row>
    <row r="192">
      <c r="A192" s="4" t="n"/>
      <c r="B192" s="4" t="inlineStr">
        <is>
          <t>/kava/caffeine</t>
        </is>
      </c>
      <c r="C192" s="13" t="inlineStr">
        <is>
          <t>Done</t>
        </is>
      </c>
      <c r="D192"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2" s="14" t="inlineStr">
        <is>
          <t>Phase 7 — PRI &amp; Kava Encyclopedias (19 routes)</t>
        </is>
      </c>
    </row>
    <row r="193">
      <c r="A193" s="4" t="n"/>
      <c r="B193" s="4" t="inlineStr">
        <is>
          <t>/kava/products</t>
        </is>
      </c>
      <c r="C193" s="13" t="inlineStr">
        <is>
          <t>Done</t>
        </is>
      </c>
      <c r="D193"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3" s="14" t="inlineStr">
        <is>
          <t>Phase 7 — PRI &amp; Kava Encyclopedias (19 routes)</t>
        </is>
      </c>
    </row>
    <row r="194">
      <c r="A194" s="4" t="n"/>
      <c r="B194" s="4" t="inlineStr">
        <is>
          <t>/kava/certification</t>
        </is>
      </c>
      <c r="C194" s="13" t="inlineStr">
        <is>
          <t>Done</t>
        </is>
      </c>
      <c r="D194"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4" s="14" t="inlineStr">
        <is>
          <t>Phase 7 — PRI &amp; Kava Encyclopedias (19 routes)</t>
        </is>
      </c>
    </row>
    <row r="195">
      <c r="A195" s="4" t="n"/>
      <c r="B195" s="4" t="inlineStr">
        <is>
          <t>PRI shared data: lib/content/pri-data.ts (copied verbatim from legacy pri/data.ts</t>
        </is>
      </c>
      <c r="C195" s="13" t="inlineStr">
        <is>
          <t>Done</t>
        </is>
      </c>
      <c r="D195"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5" s="14" t="inlineStr">
        <is>
          <t>Phase 7 — PRI &amp; Kava Encyclopedias (19 routes)</t>
        </is>
      </c>
    </row>
    <row r="196">
      <c r="A196" s="4" t="n"/>
      <c r="B196" s="4" t="inlineStr">
        <is>
          <t>/psychedelic-readiness-index (core tool)</t>
        </is>
      </c>
      <c r="C196" s="13" t="inlineStr">
        <is>
          <t>Done</t>
        </is>
      </c>
      <c r="D196"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6" s="14" t="inlineStr">
        <is>
          <t>Phase 7 — PRI &amp; Kava Encyclopedias (19 routes)</t>
        </is>
      </c>
    </row>
    <row r="197">
      <c r="A197" s="4" t="n"/>
      <c r="B197" s="4" t="inlineStr">
        <is>
          <t>PRI: /peyote-mescaline</t>
        </is>
      </c>
      <c r="C197" s="13" t="inlineStr">
        <is>
          <t>Done</t>
        </is>
      </c>
      <c r="D197"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7" s="14" t="inlineStr">
        <is>
          <t>Phase 7 — PRI &amp; Kava Encyclopedias (19 routes)</t>
        </is>
      </c>
    </row>
    <row r="198">
      <c r="A198" s="4" t="n"/>
      <c r="B198" s="4" t="inlineStr">
        <is>
          <t>PRI: /iboga-ibogaine</t>
        </is>
      </c>
      <c r="C198" s="13" t="inlineStr">
        <is>
          <t>Done</t>
        </is>
      </c>
      <c r="D198"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8" s="14" t="inlineStr">
        <is>
          <t>Phase 7 — PRI &amp; Kava Encyclopedias (19 routes)</t>
        </is>
      </c>
    </row>
    <row r="199">
      <c r="A199" s="4" t="n"/>
      <c r="B199" s="4" t="inlineStr">
        <is>
          <t>PRI: /iboga-compass</t>
        </is>
      </c>
      <c r="C199" s="13" t="inlineStr">
        <is>
          <t>Done</t>
        </is>
      </c>
      <c r="D199"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199" s="14" t="inlineStr">
        <is>
          <t>Phase 7 — PRI &amp; Kava Encyclopedias (19 routes)</t>
        </is>
      </c>
    </row>
    <row r="200">
      <c r="A200" s="4" t="n"/>
      <c r="B200" s="4" t="inlineStr">
        <is>
          <t>PRI: /pri-calibration</t>
        </is>
      </c>
      <c r="C200" s="13" t="inlineStr">
        <is>
          <t>Done</t>
        </is>
      </c>
      <c r="D200"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0" s="14" t="inlineStr">
        <is>
          <t>Phase 7 — PRI &amp; Kava Encyclopedias (19 routes)</t>
        </is>
      </c>
    </row>
    <row r="201">
      <c r="A201" s="4" t="n"/>
      <c r="B201" s="4" t="inlineStr">
        <is>
          <t>PRI: /pri-efficacy</t>
        </is>
      </c>
      <c r="C201" s="13" t="inlineStr">
        <is>
          <t>Done</t>
        </is>
      </c>
      <c r="D201"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1" s="14" t="inlineStr">
        <is>
          <t>Phase 7 — PRI &amp; Kava Encyclopedias (19 routes)</t>
        </is>
      </c>
    </row>
    <row r="202">
      <c r="A202" s="4" t="n"/>
      <c r="B202" s="4" t="inlineStr">
        <is>
          <t>PRI: /pri-research Built 2026-10-06 behind the login: admins are the emails in ADMIN_EMAILS; everyone else gets live's "Access Denied"</t>
        </is>
      </c>
      <c r="C202" s="13" t="inlineStr">
        <is>
          <t>Done</t>
        </is>
      </c>
      <c r="D202"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2" s="14" t="inlineStr">
        <is>
          <t>Phase 7 — PRI &amp; Kava Encyclopedias (19 routes)</t>
        </is>
      </c>
    </row>
    <row r="203">
      <c r="A203" s="4" t="n"/>
      <c r="B203" s="4" t="inlineStr">
        <is>
          <t>PRI: /facilitator-index</t>
        </is>
      </c>
      <c r="C203" s="13" t="inlineStr">
        <is>
          <t>Done</t>
        </is>
      </c>
      <c r="D203"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3" s="14" t="inlineStr">
        <is>
          <t>Phase 7 — PRI &amp; Kava Encyclopedias (19 routes)</t>
        </is>
      </c>
    </row>
    <row r="204">
      <c r="A204" s="4" t="n"/>
      <c r="B204" s="4" t="inlineStr">
        <is>
          <t>Port shared safety/medicine data modules (safety-data.ts, medicine-images.ts) as typed .ts content in the new codebase</t>
        </is>
      </c>
      <c r="C204" s="13" t="inlineStr">
        <is>
          <t>Done</t>
        </is>
      </c>
      <c r="D204" s="4" t="inlineStr">
        <is>
          <t>done as part of the main PRI page above (lib/content/pri-safety-data.ts, lib/content/pri-medicine-images.ts, both copied verbatim).</t>
        </is>
      </c>
      <c r="E204" s="14" t="inlineStr">
        <is>
          <t>Phase 7 — PRI &amp; Kava Encyclopedias (19 routes)</t>
        </is>
      </c>
    </row>
    <row r="205">
      <c r="A205" s="10" t="inlineStr">
        <is>
          <t>Phase 8 — Attention Theft Manifesto (7 routes)</t>
        </is>
      </c>
      <c r="B205" s="11" t="n"/>
      <c r="C205" s="11" t="n"/>
      <c r="D205" s="12" t="n"/>
    </row>
    <row r="206">
      <c r="A206" s="4" t="n"/>
      <c r="B206" s="4" t="inlineStr">
        <is>
          <t>/attention-theft</t>
        </is>
      </c>
      <c r="C206" s="13" t="inlineStr">
        <is>
          <t>Done</t>
        </is>
      </c>
      <c r="D206"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6" s="14" t="inlineStr">
        <is>
          <t>Phase 8 — Attention Theft Manifesto (7 routes)</t>
        </is>
      </c>
    </row>
    <row r="207">
      <c r="A207" s="4" t="n"/>
      <c r="B207" s="4" t="inlineStr">
        <is>
          <t>Legacy anchor redirects</t>
        </is>
      </c>
      <c r="C207" s="13" t="inlineStr">
        <is>
          <t>Done</t>
        </is>
      </c>
      <c r="D207" s="4" t="inlineStr">
        <is>
          <t>/attention-theft/economics, /blocker-finder, /legal, /weapons, /report → /attention-theft#&lt;anchor&gt; via next.config.ts redirects(). Verified live: all return real 308s to the correct anchor.</t>
        </is>
      </c>
      <c r="E207" s="14" t="inlineStr">
        <is>
          <t>Phase 8 — Attention Theft Manifesto (7 routes)</t>
        </is>
      </c>
    </row>
    <row r="208">
      <c r="A208" s="4" t="n"/>
      <c r="B208" s="4" t="inlineStr">
        <is>
          <t>Port ManifestoLayout scroll-tracking wrapper behavior</t>
        </is>
      </c>
      <c r="C208" s="13" t="inlineStr">
        <is>
          <t>Done</t>
        </is>
      </c>
      <c r="D208" s="4" t="inlineStr">
        <is>
          <t>components/manifesto/manifesto-nav.tsx tracks which section is in view on scroll and highlights the matching nav pill (desktop + mobile), real behavior kept per this line item rather than simplified away.</t>
        </is>
      </c>
      <c r="E208" s="14" t="inlineStr">
        <is>
          <t>Phase 8 — Attention Theft Manifesto (7 routes)</t>
        </is>
      </c>
    </row>
    <row r="209">
      <c r="A209" s="10" t="inlineStr">
        <is>
          <t>Phase 9 — Assessments (33 routes)</t>
        </is>
      </c>
      <c r="B209" s="11" t="n"/>
      <c r="C209" s="11" t="n"/>
      <c r="D209" s="12" t="n"/>
    </row>
    <row r="210">
      <c r="A210" s="4" t="n"/>
      <c r="B210" s="4" t="inlineStr">
        <is>
          <t>HumanOS section</t>
        </is>
      </c>
      <c r="C210" s="13" t="inlineStr">
        <is>
          <t>Done</t>
        </is>
      </c>
      <c r="D210"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0" s="14" t="inlineStr">
        <is>
          <t>Phase 9 — Assessments (33 routes)</t>
        </is>
      </c>
    </row>
    <row r="211">
      <c r="A211" s="4" t="n"/>
      <c r="B211" s="4" t="inlineStr">
        <is>
          <t>/find-your-me (+ /find-my-me, /discover)</t>
        </is>
      </c>
      <c r="C211" s="13" t="inlineStr">
        <is>
          <t>Done</t>
        </is>
      </c>
      <c r="D211"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1" s="14" t="inlineStr">
        <is>
          <t>Phase 9 — Assessments (33 routes)</t>
        </is>
      </c>
    </row>
    <row r="212">
      <c r="A212" s="4" t="n"/>
      <c r="B212" s="4" t="inlineStr">
        <is>
          <t>/find-your-therapy (+ /find-my-therapy)</t>
        </is>
      </c>
      <c r="C212" s="13" t="inlineStr">
        <is>
          <t>Done</t>
        </is>
      </c>
      <c r="D212"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2" s="14" t="inlineStr">
        <is>
          <t>Phase 9 — Assessments (33 routes)</t>
        </is>
      </c>
    </row>
    <row r="213">
      <c r="A213" s="4" t="n"/>
      <c r="B213" s="4" t="inlineStr">
        <is>
          <t>/find-your-sake</t>
        </is>
      </c>
      <c r="C213" s="13" t="inlineStr">
        <is>
          <t>Done</t>
        </is>
      </c>
      <c r="D213"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3" s="14" t="inlineStr">
        <is>
          <t>Phase 9 — Assessments (33 routes)</t>
        </is>
      </c>
    </row>
    <row r="214">
      <c r="A214" s="4" t="n"/>
      <c r="B214" s="4" t="inlineStr">
        <is>
          <t>/find-your-spirit (+ /find-my-spirit), along with a shared PDF-export component the rest of Phase 9 can reuse</t>
        </is>
      </c>
      <c r="C214" s="13" t="inlineStr">
        <is>
          <t>Done</t>
        </is>
      </c>
      <c r="D214"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4" s="14" t="inlineStr">
        <is>
          <t>Phase 9 — Assessments (33 routes)</t>
        </is>
      </c>
    </row>
    <row r="215">
      <c r="A215" s="4" t="n"/>
      <c r="B215" s="4" t="inlineStr">
        <is>
          <t>/find-your-religion</t>
        </is>
      </c>
      <c r="C215" s="13" t="inlineStr">
        <is>
          <t>Done</t>
        </is>
      </c>
      <c r="D215"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5" s="14" t="inlineStr">
        <is>
          <t>Phase 9 — Assessments (33 routes)</t>
        </is>
      </c>
    </row>
    <row r="216">
      <c r="A216" s="4" t="n"/>
      <c r="B216" s="4" t="inlineStr">
        <is>
          <t>/find-your-diet (+ /find-my-diet)</t>
        </is>
      </c>
      <c r="C216" s="13" t="inlineStr">
        <is>
          <t>Done</t>
        </is>
      </c>
      <c r="D216"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6" s="14" t="inlineStr">
        <is>
          <t>Phase 9 — Assessments (33 routes)</t>
        </is>
      </c>
    </row>
    <row r="217">
      <c r="A217" s="4" t="n"/>
      <c r="B217" s="4" t="inlineStr">
        <is>
          <t>/find-your-movement (+ /find-my-movement), along with the shared assessment foundation the rest of Phase 9 depends on</t>
        </is>
      </c>
      <c r="C217" s="13" t="inlineStr">
        <is>
          <t>Done</t>
        </is>
      </c>
      <c r="D217"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7" s="14" t="inlineStr">
        <is>
          <t>Phase 9 — Assessments (33 routes)</t>
        </is>
      </c>
    </row>
    <row r="218">
      <c r="A218" s="4" t="n"/>
      <c r="B218" s="4" t="inlineStr">
        <is>
          <t>/find-your-sleep (+ /find-my-sleep)</t>
        </is>
      </c>
      <c r="C218" s="13" t="inlineStr">
        <is>
          <t>Done</t>
        </is>
      </c>
      <c r="D218"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8" s="14" t="inlineStr">
        <is>
          <t>Phase 9 — Assessments (33 routes)</t>
        </is>
      </c>
    </row>
    <row r="219">
      <c r="A219" s="4" t="n"/>
      <c r="B219" s="4" t="inlineStr">
        <is>
          <t>/find-your-coffee (+ /find-my-coffee)</t>
        </is>
      </c>
      <c r="C219" s="13" t="inlineStr">
        <is>
          <t>Done</t>
        </is>
      </c>
      <c r="D219"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19" s="14" t="inlineStr">
        <is>
          <t>Phase 9 — Assessments (33 routes)</t>
        </is>
      </c>
    </row>
    <row r="220">
      <c r="A220" s="4" t="n"/>
      <c r="B220" s="4" t="inlineStr">
        <is>
          <t>/find-your-kitchen. Real 15 questions (all rendered on one page at once</t>
        </is>
      </c>
      <c r="C220" s="13" t="inlineStr">
        <is>
          <t>Done</t>
        </is>
      </c>
      <c r="D220"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0" s="14" t="inlineStr">
        <is>
          <t>Phase 9 — Assessments (33 routes)</t>
        </is>
      </c>
    </row>
    <row r="221">
      <c r="A221" s="4" t="n"/>
      <c r="B221" s="4" t="inlineStr">
        <is>
          <t>/find-your-style. Real 15 questions, 6 real archetypes, and the real (if crude</t>
        </is>
      </c>
      <c r="C221" s="13" t="inlineStr">
        <is>
          <t>Done</t>
        </is>
      </c>
      <c r="D221"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1" s="14" t="inlineStr">
        <is>
          <t>Phase 9 — Assessments (33 routes)</t>
        </is>
      </c>
    </row>
    <row r="222">
      <c r="A222" s="4" t="n"/>
      <c r="B222" s="4" t="inlineStr">
        <is>
          <t>/find-your-attachment-style (+ /find-my-attachment-style, /find-my-we)</t>
        </is>
      </c>
      <c r="C222" s="13" t="inlineStr">
        <is>
          <t>Done</t>
        </is>
      </c>
      <c r="D222"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2" s="14" t="inlineStr">
        <is>
          <t>Phase 9 — Assessments (33 routes)</t>
        </is>
      </c>
    </row>
    <row r="223">
      <c r="A223" s="4" t="n"/>
      <c r="B223" s="4" t="inlineStr">
        <is>
          <t>/find-your-love-language</t>
        </is>
      </c>
      <c r="C223" s="13" t="inlineStr">
        <is>
          <t>Done</t>
        </is>
      </c>
      <c r="D223" s="4" t="inlineStr">
        <is>
          <t>Real 15 questions (incl. the negative-score "disconnect" question), 5 real archetypes with descriptions/tips, and Dr. Gary Chapman's real attribution note all ported unchanged. Verified live: 200 OK, full quiz flow, typecheck/lint clean.</t>
        </is>
      </c>
      <c r="E223" s="14" t="inlineStr">
        <is>
          <t>Phase 9 — Assessments (33 routes)</t>
        </is>
      </c>
    </row>
    <row r="224">
      <c r="A224" s="4" t="n"/>
      <c r="B224" s="4" t="inlineStr">
        <is>
          <t>/find-your-peptide (+ /find-my-peptide)</t>
        </is>
      </c>
      <c r="C224" s="13" t="inlineStr">
        <is>
          <t>Done</t>
        </is>
      </c>
      <c r="D224"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4" s="14" t="inlineStr">
        <is>
          <t>Phase 9 — Assessments (33 routes)</t>
        </is>
      </c>
    </row>
    <row r="225">
      <c r="A225" s="4" t="n"/>
      <c r="B225" s="4" t="inlineStr">
        <is>
          <t>/find-your-sexuality (+ /find-my-sexuality)</t>
        </is>
      </c>
      <c r="C225" s="13" t="inlineStr">
        <is>
          <t>Done</t>
        </is>
      </c>
      <c r="D225"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5" s="14" t="inlineStr">
        <is>
          <t>Phase 9 — Assessments (33 routes)</t>
        </is>
      </c>
    </row>
    <row r="226">
      <c r="A226" s="4" t="n"/>
      <c r="B226" s="4" t="inlineStr">
        <is>
          <t>/find-my</t>
        </is>
      </c>
      <c r="C226" s="13" t="inlineStr">
        <is>
          <t>Done</t>
        </is>
      </c>
      <c r="D226"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6" s="14" t="inlineStr">
        <is>
          <t>Phase 9 — Assessments (33 routes)</t>
        </is>
      </c>
    </row>
    <row r="227">
      <c r="A227" s="4" t="n"/>
      <c r="B227" s="4" t="inlineStr">
        <is>
          <t>/assessments</t>
        </is>
      </c>
      <c r="C227" s="13" t="inlineStr">
        <is>
          <t>Done</t>
        </is>
      </c>
      <c r="D227"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7" s="14" t="inlineStr">
        <is>
          <t>Phase 9 — Assessments (33 routes)</t>
        </is>
      </c>
    </row>
    <row r="228">
      <c r="A228" s="4" t="n"/>
      <c r="B228" s="4" t="inlineStr">
        <is>
          <t>/dharma-finder (+ /assessments/dharma-finder redirect). Structurally different from every other Phase 9 quiz</t>
        </is>
      </c>
      <c r="C228" s="13" t="inlineStr">
        <is>
          <t>Done</t>
        </is>
      </c>
      <c r="D228"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8" s="14" t="inlineStr">
        <is>
          <t>Phase 9 — Assessments (33 routes)</t>
        </is>
      </c>
    </row>
    <row r="229">
      <c r="A229" s="4" t="n"/>
      <c r="B229" s="4" t="inlineStr">
        <is>
          <t>/consciousness-scale (+ /assessments/consciousness-scale redirect)</t>
        </is>
      </c>
      <c r="C229" s="13" t="inlineStr">
        <is>
          <t>Done</t>
        </is>
      </c>
      <c r="D229"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29" s="14" t="inlineStr">
        <is>
          <t>Phase 9 — Assessments (33 routes)</t>
        </is>
      </c>
    </row>
    <row r="230">
      <c r="A230" s="4" t="n"/>
      <c r="B230" s="4" t="inlineStr">
        <is>
          <t>/grant-study (+ /assessments/grant-study redirect)</t>
        </is>
      </c>
      <c r="C230" s="13" t="inlineStr">
        <is>
          <t>Done</t>
        </is>
      </c>
      <c r="D230"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0" s="14" t="inlineStr">
        <is>
          <t>Phase 9 — Assessments (33 routes)</t>
        </is>
      </c>
    </row>
    <row r="231">
      <c r="A231" s="4" t="n"/>
      <c r="B231" s="4" t="inlineStr">
        <is>
          <t>/soulscore</t>
        </is>
      </c>
      <c r="C231" s="13" t="inlineStr">
        <is>
          <t>Done</t>
        </is>
      </c>
      <c r="D231"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1" s="14" t="inlineStr">
        <is>
          <t>Phase 9 — Assessments (33 routes)</t>
        </is>
      </c>
    </row>
    <row r="232">
      <c r="A232" s="4" t="n"/>
      <c r="B232" s="4" t="inlineStr">
        <is>
          <t>/self-portrait</t>
        </is>
      </c>
      <c r="C232" s="13" t="inlineStr">
        <is>
          <t>Done</t>
        </is>
      </c>
      <c r="D232"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2" s="14" t="inlineStr">
        <is>
          <t>Phase 9 — Assessments (33 routes)</t>
        </is>
      </c>
    </row>
    <row r="233">
      <c r="A233" s="4" t="n"/>
      <c r="B233" s="4" t="inlineStr">
        <is>
          <t>/the-mirror (+ /life-assessment)</t>
        </is>
      </c>
      <c r="C233" s="13" t="inlineStr">
        <is>
          <t>Done</t>
        </is>
      </c>
      <c r="D233"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3" s="14" t="inlineStr">
        <is>
          <t>Phase 9 — Assessments (33 routes)</t>
        </is>
      </c>
    </row>
    <row r="234">
      <c r="A234" s="4" t="n"/>
      <c r="B234" s="4" t="inlineStr">
        <is>
          <t>/assessment</t>
        </is>
      </c>
      <c r="C234" s="13" t="inlineStr">
        <is>
          <t>Done</t>
        </is>
      </c>
      <c r="D234"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4" s="14" t="inlineStr">
        <is>
          <t>Phase 9 — Assessments (33 routes)</t>
        </is>
      </c>
    </row>
    <row r="235">
      <c r="A235" s="4" t="n"/>
      <c r="B235" s="4" t="inlineStr">
        <is>
          <t>Fix dead-end pages flagged in STATUS.md</t>
        </is>
      </c>
      <c r="C235" s="13" t="inlineStr">
        <is>
          <t>Done</t>
        </is>
      </c>
      <c r="D235" s="4" t="inlineStr">
        <is>
          <t>sake, therapy, and love-language all got real next-step navigation (WhatsNext + real "Journey Continues" links) during their ports — the last remaining one, soulscore, is now built (see above), closing this out.</t>
        </is>
      </c>
      <c r="E235" s="14" t="inlineStr">
        <is>
          <t>Phase 9 — Assessments (33 routes)</t>
        </is>
      </c>
    </row>
    <row r="236">
      <c r="A236" s="4" t="n"/>
      <c r="B236" s="4" t="inlineStr">
        <is>
          <t>Port shared radar-chart / PDF-export / email-gate components used across assessments</t>
        </is>
      </c>
      <c r="C236" s="13" t="inlineStr">
        <is>
          <t>Done</t>
        </is>
      </c>
      <c r="D236" s="4" t="inlineStr">
        <is>
          <t>components/assessments/{radar-chart,result-actions,email-gate}.tsx, built during Phase 9 and reused unchanged by all 15 "Find Your X" quizzes plus /find-your-me.</t>
        </is>
      </c>
      <c r="E236" s="14" t="inlineStr">
        <is>
          <t>Phase 9 — Assessments (33 routes)</t>
        </is>
      </c>
    </row>
    <row r="237">
      <c r="A237" s="10" t="inlineStr">
        <is>
          <t>Phase 11 — Code MCP Server — REBUILT (2026-09-29)</t>
        </is>
      </c>
      <c r="B237" s="11" t="n"/>
      <c r="C237" s="11" t="n"/>
      <c r="D237" s="12" t="n"/>
    </row>
    <row r="238">
      <c r="A238" s="4" t="n"/>
      <c r="B238" s="4" t="inlineStr">
        <is>
          <t>src/lib/admin/</t>
        </is>
      </c>
      <c r="C238" s="13" t="inlineStr">
        <is>
          <t>Done</t>
        </is>
      </c>
      <c r="D238"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8" s="14" t="inlineStr">
        <is>
          <t>Phase 11 — Code MCP Server — REBUILT (2026-09-29)</t>
        </is>
      </c>
    </row>
    <row r="239">
      <c r="A239" s="4" t="n"/>
      <c r="B239" s="4" t="inlineStr">
        <is>
          <t>Per-person access via MCP_ADMIN_USERS (read/edit/write roles, tools filtered per role, calls logged, commits stamped [by &lt;name&gt;])</t>
        </is>
      </c>
      <c r="C239" s="13" t="inlineStr">
        <is>
          <t>Done</t>
        </is>
      </c>
      <c r="D239" s="4" t="inlineStr">
        <is>
          <t>mcp-auth.ts.</t>
        </is>
      </c>
      <c r="E239" s="14" t="inlineStr">
        <is>
          <t>Phase 11 — Code MCP Server — REBUILT (2026-09-29)</t>
        </is>
      </c>
    </row>
    <row r="240">
      <c r="A240" s="4" t="n"/>
      <c r="B240" s="4" t="inlineStr">
        <is>
          <t>Rules gate: get_project_rules serves CONTRIBUTING.md + AGENTS.md + docs/ai/ guides with a rulesVersion; all 6 write tools require it</t>
        </is>
      </c>
      <c r="C240" s="13" t="inlineStr">
        <is>
          <t>Done</t>
        </is>
      </c>
      <c r="D240" s="4" t="inlineStr">
        <is>
          <t>project-rules.ts.</t>
        </is>
      </c>
      <c r="E240" s="14" t="inlineStr">
        <is>
          <t>Phase 11 — Code MCP Server — REBUILT (2026-09-29)</t>
        </is>
      </c>
    </row>
    <row r="241">
      <c r="A241" s="4" t="n"/>
      <c r="B241" s="4" t="inlineStr">
        <is>
          <t>src/app/api/mcp/route.ts (header auth) + src/app/api/mcp/[token]/route.ts (token in URL).</t>
        </is>
      </c>
      <c r="C241" s="13" t="inlineStr">
        <is>
          <t>Done</t>
        </is>
      </c>
      <c r="D241" s="4" t="inlineStr"/>
      <c r="E241" s="14" t="inlineStr">
        <is>
          <t>Phase 11 — Code MCP Server — REBUILT (2026-09-29)</t>
        </is>
      </c>
    </row>
    <row r="242">
      <c r="A242" s="4" t="n"/>
      <c r="B242" s="4" t="inlineStr">
        <is>
          <t>docs/ai/ knowledge base (README, TASK_GUIDE, PROJECT_STRUCTURE, project_mcp_server), linked from CONTRIBUTING.md.</t>
        </is>
      </c>
      <c r="C242" s="13" t="inlineStr">
        <is>
          <t>Done</t>
        </is>
      </c>
      <c r="D242" s="4" t="inlineStr"/>
      <c r="E242" s="14" t="inlineStr">
        <is>
          <t>Phase 11 — Code MCP Server — REBUILT (2026-09-29)</t>
        </is>
      </c>
    </row>
    <row r="243">
      <c r="A243" s="4" t="n"/>
      <c r="B243" s="4" t="inlineStr">
        <is>
          <t>@modelcontextprotocol/sdk ^1.30.0 re-added (approved 2026-09-29); GITHUB_TOKEN/MCP_ADMIN_USERS/MCP_SITE_ORIGIN documented in .env.local.example.</t>
        </is>
      </c>
      <c r="C243" s="13" t="inlineStr">
        <is>
          <t>Done</t>
        </is>
      </c>
      <c r="D243" s="4" t="inlineStr"/>
      <c r="E243" s="14" t="inlineStr">
        <is>
          <t>Phase 11 — Code MCP Server — REBUILT (2026-09-29)</t>
        </is>
      </c>
    </row>
    <row r="244">
      <c r="A244" s="4" t="n"/>
      <c r="B244" s="4" t="inlineStr">
        <is>
          <t>Verified locally</t>
        </is>
      </c>
      <c r="C244" s="13" t="inlineStr">
        <is>
          <t>Done</t>
        </is>
      </c>
      <c r="D244" s="4" t="inlineStr">
        <is>
          <t>auth (401/405), role filtering, rules-gate markers, token-in-URL route, code check, Sanity query, SEO check.</t>
        </is>
      </c>
      <c r="E244" s="14" t="inlineStr">
        <is>
          <t>Phase 11 — Code MCP Server — REBUILT (2026-09-29)</t>
        </is>
      </c>
    </row>
    <row r="245">
      <c r="A245" s="4" t="n"/>
      <c r="B245" s="4" t="inlineStr">
        <is>
          <t>Sign-in for the MCP server (OAuth 2.1, ported from ramprate-ui, 2026-09-30)</t>
        </is>
      </c>
      <c r="C245" s="13" t="inlineStr">
        <is>
          <t>Done</t>
        </is>
      </c>
      <c r="D245" s="4" t="inlineStr">
        <is>
          <t>/oauth/authorize sign-in page + /.well-known metadata + register/authorize/token endpoints, stateless (signed tokens, no database), no new dependency. Verified end to end on a local production build. See docs/ai/project_mcp_server.md.</t>
        </is>
      </c>
      <c r="E245" s="14" t="inlineStr">
        <is>
          <t>Phase 11 — Code MCP Server — REBUILT (2026-09-29)</t>
        </is>
      </c>
    </row>
    <row r="246">
      <c r="A246" s="4" t="n"/>
      <c r="B246" s="4" t="inlineStr">
        <is>
          <t>Set GITHUB_TOKEN, MCP_ADMIN_USERS, MCP_LOGIN_PASSWORD, MCP_OAUTH_SECRET, MCP_SITE_ORIGIN, MCP_PUBLIC_ORIGIN in Netlify (done) (checked 2026-…</t>
        </is>
      </c>
      <c r="C246" s="15" t="inlineStr">
        <is>
          <t>Remaining</t>
        </is>
      </c>
      <c r="D246" s="4" t="inlineStr">
        <is>
          <t>10-07: all already set in Netlify). Left: connect Claude.ai to /api/mcp for real, and verify the GitHub flow end to end (branch → PR → deploy preview → publish_changes) against a real PR.</t>
        </is>
      </c>
      <c r="E246" s="14" t="inlineStr">
        <is>
          <t>Phase 11 — Code MCP Server — REBUILT (2026-09-29)</t>
        </is>
      </c>
    </row>
    <row r="247">
      <c r="A247" s="4" t="n"/>
      <c r="B247" s="4" t="inlineStr">
        <is>
          <t>Commit a team-wide .mcp.json (URL only) once the production URL is settled.</t>
        </is>
      </c>
      <c r="C247" s="15" t="inlineStr">
        <is>
          <t>Remaining</t>
        </is>
      </c>
      <c r="D247" s="4" t="inlineStr"/>
      <c r="E247" s="14" t="inlineStr">
        <is>
          <t>Phase 11 — Code MCP Server — REBUILT (2026-09-29)</t>
        </is>
      </c>
    </row>
    <row r="248">
      <c r="A248" s="4" t="n"/>
      <c r="B248" s="4" t="inlineStr">
        <is>
          <t>Google read-only tools added (2026-10-02)</t>
        </is>
      </c>
      <c r="C248" s="13" t="inlineStr">
        <is>
          <t>Done</t>
        </is>
      </c>
      <c r="D248"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8" s="14" t="inlineStr">
        <is>
          <t>Phase 11 — Code MCP Server — REBUILT (2026-09-29)</t>
        </is>
      </c>
    </row>
    <row r="249">
      <c r="A249" s="4" t="n"/>
      <c r="B249" s="4" t="inlineStr">
        <is>
          <t>publish_changes fixed (2026-10-02)</t>
        </is>
      </c>
      <c r="C249" s="13" t="inlineStr">
        <is>
          <t>Done</t>
        </is>
      </c>
      <c r="D249" s="4" t="inlineStr">
        <is>
          <t>it published every draft in Sanity (31 waiting for review today), so any one-line fix would have pushed them all live. Now it publishes only the drafts named in draft_ids; unknown ids are refused before anything happens (verified).</t>
        </is>
      </c>
      <c r="E249" s="14" t="inlineStr">
        <is>
          <t>Phase 11 — Code MCP Server — REBUILT (2026-09-29)</t>
        </is>
      </c>
    </row>
    <row r="250">
      <c r="A250" s="4" t="n"/>
      <c r="B250" s="4" t="inlineStr">
        <is>
          <t>seo_check_page decoded &amp;#39; but not React's &amp;#x27;, so descriptions showed Tony Greenberg&amp;#x27;s and the length was off</t>
        </is>
      </c>
      <c r="C250" s="13" t="inlineStr">
        <is>
          <t>Done</t>
        </is>
      </c>
      <c r="D250" s="4" t="inlineStr">
        <is>
          <t>Fixed and verified (2026-10-02).</t>
        </is>
      </c>
      <c r="E250" s="14" t="inlineStr">
        <is>
          <t>Phase 11 — Code MCP Server — REBUILT (2026-09-29)</t>
        </is>
      </c>
    </row>
    <row r="251">
      <c r="A251" s="4" t="n"/>
      <c r="B251" s="4" t="inlineStr">
        <is>
          <t>Search Console access for the service account added by the team (2026-10-02); all four search_console_* tools verified with real tonygreenbe…</t>
        </is>
      </c>
      <c r="C251" s="13" t="inlineStr">
        <is>
          <t>Done</t>
        </is>
      </c>
      <c r="D251" s="4" t="inlineStr">
        <is>
          <t>rg.com data (99 clicks / 1,663 impressions in 28 days, homepage indexed, sitemap 284 URLs, 0 errors, 82 warnings).</t>
        </is>
      </c>
      <c r="E251" s="14" t="inlineStr">
        <is>
          <t>Phase 11 — Code MCP Server — REBUILT (2026-09-29)</t>
        </is>
      </c>
    </row>
    <row r="252">
      <c r="A252" s="4" t="n"/>
      <c r="B252" s="4" t="inlineStr">
        <is>
          <t>GOOGLE_GA_CLIENT_EMAIL, GOOGLE_GA_PRIVATE_KEY, GA4_PROPERTY_ID_TONYGREENBERG set in Netlify (2026-10-02, via the Netlify API, values checked…</t>
        </is>
      </c>
      <c r="C252" s="13" t="inlineStr">
        <is>
          <t>Done</t>
        </is>
      </c>
      <c r="D252" s="4" t="inlineStr">
        <is>
          <t xml:space="preserve"> equal to .env.local; this plan can't limit a variable's scopes, so they're available to builds and functions). Used from the next deploy.</t>
        </is>
      </c>
      <c r="E252" s="14" t="inlineStr">
        <is>
          <t>Phase 11 — Code MCP Server — REBUILT (2026-09-29)</t>
        </is>
      </c>
    </row>
    <row r="253">
      <c r="A253" s="4" t="n"/>
      <c r="B253" s="4" t="inlineStr">
        <is>
          <t>Per-request change system ported from ramprate-ui (2026-10-02, owner said yes)</t>
        </is>
      </c>
      <c r="C253" s="13" t="inlineStr">
        <is>
          <t>Done</t>
        </is>
      </c>
      <c r="D253"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3" s="14" t="inlineStr">
        <is>
          <t>Phase 11 — Code MCP Server — REBUILT (2026-09-29)</t>
        </is>
      </c>
    </row>
    <row r="254">
      <c r="A254" s="4" t="n"/>
      <c r="B254" s="4" t="inlineStr">
        <is>
          <t>Merge the CI fix into main</t>
        </is>
      </c>
      <c r="C254" s="13" t="inlineStr">
        <is>
          <t>Done</t>
        </is>
      </c>
      <c r="D254"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4" s="14" t="inlineStr">
        <is>
          <t>Phase 11 — Code MCP Server — REBUILT (2026-09-29)</t>
        </is>
      </c>
    </row>
    <row r="255">
      <c r="A255" s="4" t="n"/>
      <c r="B255" s="4" t="inlineStr">
        <is>
          <t>Blocked on you (Google)</t>
        </is>
      </c>
      <c r="C255" s="15" t="inlineStr">
        <is>
          <t>Remaining</t>
        </is>
      </c>
      <c r="D255"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5" s="14" t="inlineStr">
        <is>
          <t>Phase 11 — Code MCP Server — REBUILT (2026-09-29)</t>
        </is>
      </c>
    </row>
    <row r="256">
      <c r="A256" s="4" t="n"/>
      <c r="B256" s="4" t="inlineStr">
        <is>
          <t>Synced with ramprate-ui's MCP server (2026-10-09, owner asked; card included by their choice)</t>
        </is>
      </c>
      <c r="C256" s="13" t="inlineStr">
        <is>
          <t>Done</t>
        </is>
      </c>
      <c r="D256"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6" s="14" t="inlineStr">
        <is>
          <t>Phase 11 — Code MCP Server — REBUILT (2026-09-29)</t>
        </is>
      </c>
    </row>
    <row r="257">
      <c r="A257" s="4" t="n"/>
      <c r="B257" s="4" t="inlineStr">
        <is>
          <t>Test the new review end to end on a deploy preview</t>
        </is>
      </c>
      <c r="C257" s="15" t="inlineStr">
        <is>
          <t>Remaining</t>
        </is>
      </c>
      <c r="D257" s="4" t="inlineStr">
        <is>
          <t>(needs a yes, it opens a real pull request): one throwaway change from Claude.ai or ChatGPT: start (unclear request, so the confirm step shows), confirm, edit, review card, screenshots, upload link, then discard.</t>
        </is>
      </c>
      <c r="E257" s="14" t="inlineStr">
        <is>
          <t>Phase 11 — Code MCP Server — REBUILT (2026-09-29)</t>
        </is>
      </c>
    </row>
    <row r="258">
      <c r="A258" s="10" t="inlineStr">
        <is>
          <t>Phase 12 — SEO Hardening, Redirects &amp; Cutover Prep</t>
        </is>
      </c>
      <c r="B258" s="11" t="n"/>
      <c r="C258" s="11" t="n"/>
      <c r="D258" s="12" t="n"/>
    </row>
    <row r="259">
      <c r="A259" s="4" t="n"/>
      <c r="B259" s="4" t="inlineStr">
        <is>
          <t>Per-page generateMetadata (title, description, OG, Twitter Card, canonical) for every ported route, sourced from Sanity seo object where con…</t>
        </is>
      </c>
      <c r="C259" s="13" t="inlineStr">
        <is>
          <t>Done</t>
        </is>
      </c>
      <c r="D259"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59" s="14" t="inlineStr">
        <is>
          <t>Phase 12 — SEO Hardening, Redirects &amp; Cutover Prep</t>
        </is>
      </c>
    </row>
    <row r="260">
      <c r="A260" s="4" t="n"/>
      <c r="B260" s="4" t="inlineStr">
        <is>
          <t>sitemap.ts generated from real Sanity content + static route list, auto-updates on publish</t>
        </is>
      </c>
      <c r="C260" s="13" t="inlineStr">
        <is>
          <t>Done</t>
        </is>
      </c>
      <c r="D260"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0" s="14" t="inlineStr">
        <is>
          <t>Phase 12 — SEO Hardening, Redirects &amp; Cutover Prep</t>
        </is>
      </c>
    </row>
    <row r="261">
      <c r="A261" s="4" t="n"/>
      <c r="B261" s="4" t="inlineStr">
        <is>
          <t>llms.txt</t>
        </is>
      </c>
      <c r="C261" s="13" t="inlineStr">
        <is>
          <t>Done</t>
        </is>
      </c>
      <c r="D261" s="4" t="inlineStr">
        <is>
          <t>fetched verbatim from the still-live site and saved to web/public/llms.txt (real content: Tony's bio, expertise, full article index by category, every product/tool section) — do this before Manus goes away, it won't be recoverable after</t>
        </is>
      </c>
      <c r="E261" s="14" t="inlineStr">
        <is>
          <t>Phase 12 — SEO Hardening, Redirects &amp; Cutover Prep</t>
        </is>
      </c>
    </row>
    <row r="262">
      <c r="A262" s="4" t="n"/>
      <c r="B262" s="4" t="inlineStr">
        <is>
          <t>robots.txt</t>
        </is>
      </c>
      <c r="C262" s="13" t="inlineStr">
        <is>
          <t>Done</t>
        </is>
      </c>
      <c r="D262"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2" s="14" t="inlineStr">
        <is>
          <t>Phase 12 — SEO Hardening, Redirects &amp; Cutover Prep</t>
        </is>
      </c>
    </row>
    <row r="263">
      <c r="A263" s="4" t="n"/>
      <c r="B263" s="4" t="inlineStr">
        <is>
          <t>JSON-LD</t>
        </is>
      </c>
      <c r="C263" s="13" t="inlineStr">
        <is>
          <t>Done</t>
        </is>
      </c>
      <c r="D263"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3" s="14" t="inlineStr">
        <is>
          <t>Phase 12 — SEO Hardening, Redirects &amp; Cutover Prep</t>
        </is>
      </c>
    </row>
    <row r="264">
      <c r="A264" s="4" t="n"/>
      <c r="B264" s="4" t="inlineStr">
        <is>
          <t>Article JSON-LD on /blog/[slug], built from real per-post Sanity data (headline, image, datePublished/dateModified, author, canonical URL)</t>
        </is>
      </c>
      <c r="C264" s="13" t="inlineStr">
        <is>
          <t>Done</t>
        </is>
      </c>
      <c r="D264" s="4" t="inlineStr">
        <is>
          <t>verified live on a real post</t>
        </is>
      </c>
      <c r="E264" s="14" t="inlineStr">
        <is>
          <t>Phase 12 — SEO Hardening, Redirects &amp; Cutover Prep</t>
        </is>
      </c>
    </row>
    <row r="265">
      <c r="A265" s="4" t="n"/>
      <c r="B265" s="4" t="inlineStr">
        <is>
          <t>Build the full Manus/legacy-URL → Next.js-URL 301 redirect map (next.config.ts redirects() or Sanity redirect documents)</t>
        </is>
      </c>
      <c r="C265" s="13" t="inlineStr">
        <is>
          <t>Done</t>
        </is>
      </c>
      <c r="D265"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65" s="14" t="inlineStr">
        <is>
          <t>Phase 12 — SEO Hardening, Redirects &amp; Cutover Prep</t>
        </is>
      </c>
    </row>
    <row r="266">
      <c r="A266" s="4" t="n"/>
      <c r="B266" s="4" t="inlineStr">
        <is>
          <t>/path/:archetype (src/app/path/[archetype]/page.tsx)</t>
        </is>
      </c>
      <c r="C266" s="13" t="inlineStr">
        <is>
          <t>Done</t>
        </is>
      </c>
      <c r="D266"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6" s="14" t="inlineStr">
        <is>
          <t>Phase 12 — SEO Hardening, Redirects &amp; Cutover Prep</t>
        </is>
      </c>
    </row>
    <row r="267">
      <c r="A267" s="4" t="n"/>
      <c r="B267" s="4" t="inlineStr">
        <is>
          <t>/my-journey (src/app/my-journey/page.tsx + components/assessments/my-journey-dashboard.tsx)</t>
        </is>
      </c>
      <c r="C267" s="13" t="inlineStr">
        <is>
          <t>Done</t>
        </is>
      </c>
      <c r="D267"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7" s="14" t="inlineStr">
        <is>
          <t>Phase 12 — SEO Hardening, Redirects &amp; Cutover Prep</t>
        </is>
      </c>
    </row>
    <row r="268">
      <c r="A268" s="4" t="n"/>
      <c r="B268" s="4" t="inlineStr">
        <is>
          <t>/the-open-door (src/app/the-open-door/page.tsx)</t>
        </is>
      </c>
      <c r="C268" s="13" t="inlineStr">
        <is>
          <t>Done</t>
        </is>
      </c>
      <c r="D268"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8" s="14" t="inlineStr">
        <is>
          <t>Phase 12 — SEO Hardening, Redirects &amp; Cutover Prep</t>
        </is>
      </c>
    </row>
    <row r="269">
      <c r="A269" s="4" t="n"/>
      <c r="B269" s="4" t="inlineStr">
        <is>
          <t>Homepage "Recent Updates" band (2026-09-29)</t>
        </is>
      </c>
      <c r="C269" s="13" t="inlineStr">
        <is>
          <t>Done</t>
        </is>
      </c>
      <c r="D269"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69" s="14" t="inlineStr">
        <is>
          <t>Phase 12 — SEO Hardening, Redirects &amp; Cutover Prep</t>
        </is>
      </c>
    </row>
    <row r="270">
      <c r="A270" s="4" t="n"/>
      <c r="B270" s="4" t="inlineStr">
        <is>
          <t>Re-sync the legacy reference</t>
        </is>
      </c>
      <c r="C270" s="13" t="inlineStr">
        <is>
          <t>Done</t>
        </is>
      </c>
      <c r="D270"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0" s="14" t="inlineStr">
        <is>
          <t>Phase 12 — SEO Hardening, Redirects &amp; Cutover Prep</t>
        </is>
      </c>
    </row>
    <row r="271">
      <c r="A271" s="4" t="n"/>
      <c r="B271" s="4" t="inlineStr">
        <is>
          <t>Visual diff pass: every ported page vs</t>
        </is>
      </c>
      <c r="C271" s="13" t="inlineStr">
        <is>
          <t>Done</t>
        </is>
      </c>
      <c r="D271"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1" s="14" t="inlineStr">
        <is>
          <t>Phase 12 — SEO Hardening, Redirects &amp; Cutover Prep</t>
        </is>
      </c>
    </row>
    <row r="272">
      <c r="A272" s="4" t="n"/>
      <c r="B272" s="4" t="inlineStr">
        <is>
          <t>Padding / spacing on the story pages matched to live (2026-10-01)</t>
        </is>
      </c>
      <c r="C272" s="13" t="inlineStr">
        <is>
          <t>Done</t>
        </is>
      </c>
      <c r="D272"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2" s="14" t="inlineStr">
        <is>
          <t>Phase 12 — SEO Hardening, Redirects &amp; Cutover Prep</t>
        </is>
      </c>
    </row>
    <row r="273">
      <c r="A273" s="4" t="n"/>
      <c r="B273" s="4" t="inlineStr">
        <is>
          <t>Header-to-title spacing re-checked (2026-10-02)</t>
        </is>
      </c>
      <c r="C273" s="13" t="inlineStr">
        <is>
          <t>Done</t>
        </is>
      </c>
      <c r="D273"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3" s="14" t="inlineStr">
        <is>
          <t>Phase 12 — SEO Hardening, Redirects &amp; Cutover Prep</t>
        </is>
      </c>
    </row>
    <row r="274">
      <c r="A274" s="4" t="n"/>
      <c r="B274" s="4" t="inlineStr">
        <is>
          <t>HumanOS headings in capitals like live (2026-10-02, owner said yes)</t>
        </is>
      </c>
      <c r="C274" s="13" t="inlineStr">
        <is>
          <t>Done</t>
        </is>
      </c>
      <c r="D274" s="4" t="inlineStr">
        <is>
          <t>the 4 headings live capitalises on /humanos (title, "Are you a Maximizer...", "Take the Diagnostic", "The Diagnostic") get uppercase; the words are unchanged. The subpages already matched.</t>
        </is>
      </c>
      <c r="E274" s="14" t="inlineStr">
        <is>
          <t>Phase 12 — SEO Hardening, Redirects &amp; Cutover Prep</t>
        </is>
      </c>
    </row>
    <row r="275">
      <c r="A275" s="4" t="n"/>
      <c r="B275" s="4" t="inlineStr">
        <is>
          <t>More layout gaps matched to live (2026-10-02)</t>
        </is>
      </c>
      <c r="C275" s="13" t="inlineStr">
        <is>
          <t>Done</t>
        </is>
      </c>
      <c r="D275"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5" s="14" t="inlineStr">
        <is>
          <t>Phase 12 — SEO Hardening, Redirects &amp; Cutover Prep</t>
        </is>
      </c>
    </row>
    <row r="276">
      <c r="A276" s="4" t="n"/>
      <c r="B276" s="4" t="inlineStr">
        <is>
          <t>Full sweep vs live (2026-10-02)</t>
        </is>
      </c>
      <c r="C276" s="13" t="inlineStr">
        <is>
          <t>Done</t>
        </is>
      </c>
      <c r="D276"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6" s="14" t="inlineStr">
        <is>
          <t>Phase 12 — SEO Hardening, Redirects &amp; Cutover Prep</t>
        </is>
      </c>
    </row>
    <row r="277">
      <c r="A277" s="4" t="n"/>
      <c r="B277" s="4" t="inlineStr">
        <is>
          <t>Sweep leftovers fixed (2026-10-06)</t>
        </is>
      </c>
      <c r="C277" s="13" t="inlineStr">
        <is>
          <t>Done</t>
        </is>
      </c>
      <c r="D277"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7" s="14" t="inlineStr">
        <is>
          <t>Phase 12 — SEO Hardening, Redirects &amp; Cutover Prep</t>
        </is>
      </c>
    </row>
    <row r="278">
      <c r="A278" s="4" t="n"/>
      <c r="B278" s="4" t="inlineStr">
        <is>
          <t>Match live's redesigned pages (2026-10-06, owner said go)</t>
        </is>
      </c>
      <c r="C278" s="13" t="inlineStr">
        <is>
          <t>Done</t>
        </is>
      </c>
      <c r="D278"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8" s="14" t="inlineStr">
        <is>
          <t>Phase 12 — SEO Hardening, Redirects &amp; Cutover Prep</t>
        </is>
      </c>
    </row>
    <row r="279">
      <c r="A279" s="4" t="n"/>
      <c r="B279" s="4" t="inlineStr">
        <is>
          <t>Still different from live (decided 2026-10-09)</t>
        </is>
      </c>
      <c r="C279" s="13" t="inlineStr">
        <is>
          <t>Done</t>
        </is>
      </c>
      <c r="D279" s="4" t="inlineStr">
        <is>
          <t>blog posts (done) (done 2026-10-07, see Phase 5); /find-my on live hides the site header. /walk-through is a 404 on live now. Owner: keep our site menu on /find-my (visitors can still reach the rest of the site); nothing left to change.</t>
        </is>
      </c>
      <c r="E279" s="14" t="inlineStr">
        <is>
          <t>Phase 12 — SEO Hardening, Redirects &amp; Cutover Prep</t>
        </is>
      </c>
    </row>
    <row r="280">
      <c r="A280" s="4" t="n"/>
      <c r="B280" s="4" t="inlineStr">
        <is>
          <t>Design change on live (owner: "match live", 2026-10-09)</t>
        </is>
      </c>
      <c r="C280" s="13" t="inlineStr">
        <is>
          <t>Done</t>
        </is>
      </c>
      <c r="D280"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0" s="14" t="inlineStr">
        <is>
          <t>Phase 12 — SEO Hardening, Redirects &amp; Cutover Prep</t>
        </is>
      </c>
    </row>
    <row r="281">
      <c r="A281" s="4" t="n"/>
      <c r="B281" s="4" t="inlineStr">
        <is>
          <t>Link check across all ported pages (no 404s, no broken internal cross-references)</t>
        </is>
      </c>
      <c r="C281" s="13" t="inlineStr">
        <is>
          <t>Done</t>
        </is>
      </c>
      <c r="D281"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1" s="14" t="inlineStr">
        <is>
          <t>Phase 12 — SEO Hardening, Redirects &amp; Cutover Prep</t>
        </is>
      </c>
    </row>
    <row r="282">
      <c r="A282" s="4" t="n"/>
      <c r="B282" s="4" t="inlineStr">
        <is>
          <t>Sitemap: no noindex pages (2026-10-08)</t>
        </is>
      </c>
      <c r="C282" s="13" t="inlineStr">
        <is>
          <t>Done</t>
        </is>
      </c>
      <c r="D282"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2" s="14" t="inlineStr">
        <is>
          <t>Phase 12 — SEO Hardening, Redirects &amp; Cutover Prep</t>
        </is>
      </c>
    </row>
    <row r="283">
      <c r="A283" s="4" t="n"/>
      <c r="B283" s="4" t="inlineStr">
        <is>
          <t>Lighthouse pass (performance/accessibility/SEO) on top 20 pages by traffic 2026-09-30, 20 key pages (no traffic data yet), local production …</t>
        </is>
      </c>
      <c r="C283" s="15" t="inlineStr">
        <is>
          <t>Remaining</t>
        </is>
      </c>
      <c r="D283"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3" s="14" t="inlineStr">
        <is>
          <t>Phase 12 — SEO Hardening, Redirects &amp; Cutover Prep</t>
        </is>
      </c>
    </row>
    <row r="284">
      <c r="A284" s="4" t="n"/>
      <c r="B284" s="4" t="inlineStr">
        <is>
          <t>No Manus links anywhere (2026-10-09, owner: "drop them everywhere")</t>
        </is>
      </c>
      <c r="C284" s="13" t="inlineStr">
        <is>
          <t>Done</t>
        </is>
      </c>
      <c r="D284"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84" s="14" t="inlineStr">
        <is>
          <t>Phase 12 — SEO Hardening, Redirects &amp; Cutover Prep</t>
        </is>
      </c>
    </row>
    <row r="285">
      <c r="A285" s="4" t="n"/>
      <c r="B285" s="4" t="inlineStr">
        <is>
          <t>Owner answers, round 2 (2026-10-09)</t>
        </is>
      </c>
      <c r="C285" s="13" t="inlineStr">
        <is>
          <t>Done</t>
        </is>
      </c>
      <c r="D285"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85" s="14" t="inlineStr">
        <is>
          <t>Phase 12 — SEO Hardening, Redirects &amp; Cutover Prep</t>
        </is>
      </c>
    </row>
    <row r="286">
      <c r="A286" s="4" t="n"/>
      <c r="B286" s="4" t="inlineStr">
        <is>
          <t>Arrows in buttons and links are icons (2026-10-09, owner said yes)</t>
        </is>
      </c>
      <c r="C286" s="13" t="inlineStr">
        <is>
          <t>Done</t>
        </is>
      </c>
      <c r="D286"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86" s="14" t="inlineStr">
        <is>
          <t>Phase 12 — SEO Hardening, Redirects &amp; Cutover Prep</t>
        </is>
      </c>
    </row>
    <row r="287">
      <c r="A287" s="4" t="n"/>
      <c r="B287" s="4" t="inlineStr">
        <is>
          <t>Category pages pre-built (2026-10-09)</t>
        </is>
      </c>
      <c r="C287" s="13" t="inlineStr">
        <is>
          <t>Done</t>
        </is>
      </c>
      <c r="D287"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87" s="14" t="inlineStr">
        <is>
          <t>Phase 12 — SEO Hardening, Redirects &amp; Cutover Prep</t>
        </is>
      </c>
    </row>
    <row r="288">
      <c r="A288" s="4" t="n"/>
      <c r="B288" s="4" t="inlineStr">
        <is>
          <t>Error pages (2026-10-09, owner asked)</t>
        </is>
      </c>
      <c r="C288" s="13" t="inlineStr">
        <is>
          <t>Done</t>
        </is>
      </c>
      <c r="D288"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88" s="14" t="inlineStr">
        <is>
          <t>Phase 12 — SEO Hardening, Redirects &amp; Cutover Prep</t>
        </is>
      </c>
    </row>
    <row r="289">
      <c r="A289" s="4" t="n"/>
      <c r="B289" s="4" t="inlineStr">
        <is>
          <t>SEO audit fixes (2026-10-06)</t>
        </is>
      </c>
      <c r="C289" s="13" t="inlineStr">
        <is>
          <t>Done</t>
        </is>
      </c>
      <c r="D289"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89" s="14" t="inlineStr">
        <is>
          <t>Phase 12 — SEO Hardening, Redirects &amp; Cutover Prep</t>
        </is>
      </c>
    </row>
    <row r="290">
      <c r="A290" s="4" t="n"/>
      <c r="B290" s="4" t="inlineStr">
        <is>
          <t>SEO audit items needing a yes (2026-10-06)</t>
        </is>
      </c>
      <c r="C290" s="15" t="inlineStr">
        <is>
          <t>Remaining</t>
        </is>
      </c>
      <c r="D290"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90" s="14" t="inlineStr">
        <is>
          <t>Phase 12 — SEO Hardening, Redirects &amp; Cutover Prep</t>
        </is>
      </c>
    </row>
    <row r="291">
      <c r="A291" s="4" t="n"/>
      <c r="B291" s="4" t="inlineStr">
        <is>
          <t>Connect Google Search Console + GA4 to the new deployment on day one of cutover</t>
        </is>
      </c>
      <c r="C291" s="15" t="inlineStr">
        <is>
          <t>Remaining</t>
        </is>
      </c>
      <c r="D291" s="4" t="inlineStr"/>
      <c r="E291" s="14" t="inlineStr">
        <is>
          <t>Phase 12 — SEO Hardening, Redirects &amp; Cutover Prep</t>
        </is>
      </c>
    </row>
    <row r="292">
      <c r="A292" s="4" t="n"/>
      <c r="B292" s="4" t="inlineStr">
        <is>
          <t>Restore/adapt the manus.space triple-layer noindex lockdown pattern for any remaining staging URLs</t>
        </is>
      </c>
      <c r="C292" s="13" t="inlineStr">
        <is>
          <t>Done</t>
        </is>
      </c>
      <c r="D292"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92" s="14" t="inlineStr">
        <is>
          <t>Phase 12 — SEO Hardening, Redirects &amp; Cutover Prep</t>
        </is>
      </c>
    </row>
    <row r="293">
      <c r="A293" s="4" t="n"/>
      <c r="B293" s="4" t="inlineStr">
        <is>
          <t>"Keep going" strip above the footer on every page (2026-10-07)</t>
        </is>
      </c>
      <c r="C293" s="13" t="inlineStr">
        <is>
          <t>Done</t>
        </is>
      </c>
      <c r="D293" s="4" t="inlineStr">
        <is>
          <t>legacy's WhereNext (deferred in Phase 3, never picked up) with its per-page suggestions, Home · Site Index · All Assessments; links pointed at current routes.</t>
        </is>
      </c>
      <c r="E293" s="14" t="inlineStr">
        <is>
          <t>Phase 12 — SEO Hardening, Redirects &amp; Cutover Prep</t>
        </is>
      </c>
    </row>
    <row r="294">
      <c r="A294" s="4" t="n"/>
      <c r="B294" s="4" t="inlineStr">
        <is>
          <t>Live-only and redesigned pages from the 2026-10-07 page sweep (188 pages compared with live)</t>
        </is>
      </c>
      <c r="C294" s="13" t="inlineStr">
        <is>
          <t>Done</t>
        </is>
      </c>
      <c r="D294"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94" s="14" t="inlineStr">
        <is>
          <t>Phase 12 — SEO Hardening, Redirects &amp; Cutover Prep</t>
        </is>
      </c>
    </row>
    <row r="295">
      <c r="A295" s="4" t="n"/>
      <c r="B295" s="4" t="inlineStr">
        <is>
          <t>/alex-azzi locked like live (2026-10-07, owner said match it)</t>
        </is>
      </c>
      <c r="C295" s="13" t="inlineStr">
        <is>
          <t>Done</t>
        </is>
      </c>
      <c r="D295" s="4" t="inlineStr">
        <is>
          <t>same server-checked password as the locked essay (GATED_POST_PASSWORD, now also set in Netlify), live's "Restricted Access" screen, the report not in the page until unlocked, out of search and the sitemap.</t>
        </is>
      </c>
      <c r="E295" s="14" t="inlineStr">
        <is>
          <t>Phase 12 — SEO Hardening, Redirects &amp; Cutover Prep</t>
        </is>
      </c>
    </row>
    <row r="296">
      <c r="A296" s="4" t="n"/>
      <c r="B296" s="4" t="inlineStr">
        <is>
          <t>Live's title fonts and sizes (2026-10-07, "fix the style")</t>
        </is>
      </c>
      <c r="C296" s="13" t="inlineStr">
        <is>
          <t>Done</t>
        </is>
      </c>
      <c r="D296"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6" s="14" t="inlineStr">
        <is>
          <t>Phase 12 — SEO Hardening, Redirects &amp; Cutover Prep</t>
        </is>
      </c>
    </row>
    <row r="297">
      <c r="A297" s="4" t="n"/>
      <c r="B297" s="4" t="inlineStr">
        <is>
          <t>Peptide page images rescued into Sanity and wired (2026-10-07)</t>
        </is>
      </c>
      <c r="C297" s="13" t="inlineStr">
        <is>
          <t>Done</t>
        </is>
      </c>
      <c r="D297" s="4" t="inlineStr">
        <is>
          <t>/peptide-watch hero plus its 11 section banners, /peptide-matrix and /peptide-supply-chain heroes, the /peptide-hall-of-shame hero (scripts/rescue-2026-10-07-peptide-images.ts, logged in docs/ai/manus-media-rescue.md).</t>
        </is>
      </c>
      <c r="E297" s="14" t="inlineStr">
        <is>
          <t>Phase 12 — SEO Hardening, Redirects &amp; Cutover Prep</t>
        </is>
      </c>
    </row>
    <row r="298">
      <c r="A298" s="4" t="n"/>
      <c r="B298" s="4" t="inlineStr">
        <is>
          <t>Live's editorial redesign, first group (2026-10-07)</t>
        </is>
      </c>
      <c r="C298" s="13" t="inlineStr">
        <is>
          <t>Done</t>
        </is>
      </c>
      <c r="D298"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8" s="14" t="inlineStr">
        <is>
          <t>Phase 12 — SEO Hardening, Redirects &amp; Cutover Prep</t>
        </is>
      </c>
    </row>
    <row r="299">
      <c r="A299" s="4" t="n"/>
      <c r="B299" s="4" t="inlineStr">
        <is>
          <t>Live's redesign, second group (done 2026-10-08)</t>
        </is>
      </c>
      <c r="C299" s="13" t="inlineStr">
        <is>
          <t>Done</t>
        </is>
      </c>
      <c r="D299"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299" s="14" t="inlineStr">
        <is>
          <t>Phase 12 — SEO Hardening, Redirects &amp; Cutover Prep</t>
        </is>
      </c>
    </row>
    <row r="300">
      <c r="A300" s="4" t="n"/>
      <c r="B300" s="4" t="inlineStr">
        <is>
          <t>BrewSoul top of page (2026-10-08, owner: "button in the center at the top doesn't look good")</t>
        </is>
      </c>
      <c r="C300" s="13" t="inlineStr">
        <is>
          <t>Done</t>
        </is>
      </c>
      <c r="D300"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0" s="14" t="inlineStr">
        <is>
          <t>Phase 12 — SEO Hardening, Redirects &amp; Cutover Prep</t>
        </is>
      </c>
    </row>
    <row r="301">
      <c r="A301" s="4" t="n"/>
      <c r="B301" s="4" t="inlineStr">
        <is>
          <t>/pri-efficacy's "Simulation / Live Calibrations" switch like live (2026-10-08)</t>
        </is>
      </c>
      <c r="C301" s="13" t="inlineStr">
        <is>
          <t>Done</t>
        </is>
      </c>
      <c r="D301"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1" s="14" t="inlineStr">
        <is>
          <t>Phase 12 — SEO Hardening, Redirects &amp; Cutover Prep</t>
        </is>
      </c>
    </row>
    <row r="302">
      <c r="A302" s="4" t="n"/>
      <c r="B302" s="4" t="inlineStr">
        <is>
          <t>/brewsoul/browse hero readable (2026-10-08, owner said go ahead)</t>
        </is>
      </c>
      <c r="C302" s="13" t="inlineStr">
        <is>
          <t>Done</t>
        </is>
      </c>
      <c r="D302" s="4" t="inlineStr">
        <is>
          <t>a soft cream glow behind the title block so "The Catalog", the subtitle and the stat labels read clearly over the coffee photo (live is hard to read there too; rule 20). Photo still shows around the edges. Checked at 390/1280px.</t>
        </is>
      </c>
      <c r="E302" s="14" t="inlineStr">
        <is>
          <t>Phase 12 — SEO Hardening, Redirects &amp; Cutover Prep</t>
        </is>
      </c>
    </row>
    <row r="303">
      <c r="A303" s="10" t="inlineStr">
        <is>
          <t>Phase 13 — Images Needed in Sanity</t>
        </is>
      </c>
      <c r="B303" s="11" t="n"/>
      <c r="C303" s="11" t="n"/>
      <c r="D303" s="12" t="n"/>
    </row>
    <row r="304">
      <c r="A304" s="4" t="n"/>
      <c r="B304" s="4" t="inlineStr">
        <is>
          <t>Manus media rescue (2026-09-29)</t>
        </is>
      </c>
      <c r="C304" s="13" t="inlineStr">
        <is>
          <t>Done</t>
        </is>
      </c>
      <c r="D304"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04" s="14" t="inlineStr">
        <is>
          <t>Phase 13 — Images Needed in Sanity</t>
        </is>
      </c>
    </row>
    <row r="305">
      <c r="A305" s="4" t="n"/>
      <c r="B305" s="4" t="inlineStr">
        <is>
          <t>Favicon</t>
        </is>
      </c>
      <c r="C305" s="13" t="inlineStr">
        <is>
          <t>Done</t>
        </is>
      </c>
      <c r="D305" s="4" t="inlineStr">
        <is>
          <t>real "G" brand mark generated from the header's actual wordmark treatment (src/app/icon.tsx), see Phase 3</t>
        </is>
      </c>
      <c r="E305" s="14" t="inlineStr">
        <is>
          <t>Phase 13 — Images Needed in Sanity</t>
        </is>
      </c>
    </row>
    <row r="306">
      <c r="A306" s="4" t="n"/>
      <c r="B306" s="4" t="inlineStr">
        <is>
          <t>Site-wide: logo (light + dark) beyond the current text wordmark</t>
        </is>
      </c>
      <c r="C306" s="15" t="inlineStr">
        <is>
          <t>Remaining</t>
        </is>
      </c>
      <c r="D306" s="4" t="inlineStr">
        <is>
          <t>(Default/fallback OG image 1200×630 exists: public/images/default-og.png, checked 2026-10-02.)</t>
        </is>
      </c>
      <c r="E306" s="14" t="inlineStr">
        <is>
          <t>Phase 13 — Images Needed in Sanity</t>
        </is>
      </c>
    </row>
    <row r="307">
      <c r="A307" s="4" t="n"/>
      <c r="B307" s="4" t="inlineStr">
        <is>
          <t>Author photo(s) for blog author schema (Tony Greenberg headshot at minimum)</t>
        </is>
      </c>
      <c r="C307" s="13" t="inlineStr">
        <is>
          <t>Done</t>
        </is>
      </c>
      <c r="D307" s="4" t="inlineStr">
        <is>
          <t>2026-10-02: the rescued headshot is already the author avatar in Sanity; now also in every post's Article JSON-LD (author image + url /about). The JSON-LD publisher logo pointed at /favicon.ico, a 404 here; now /icon.</t>
        </is>
      </c>
      <c r="E307" s="14" t="inlineStr">
        <is>
          <t>Phase 13 — Images Needed in Sanity</t>
        </is>
      </c>
    </row>
    <row r="308">
      <c r="A308" s="4" t="n"/>
      <c r="B308" s="4" t="inlineStr">
        <is>
          <t>Blog hero images</t>
        </is>
      </c>
      <c r="C308" s="13" t="inlineStr">
        <is>
          <t>Done</t>
        </is>
      </c>
      <c r="D308" s="4" t="inlineStr">
        <is>
          <t>audited, then migrated. Final state:</t>
        </is>
      </c>
      <c r="E308" s="14" t="inlineStr">
        <is>
          <t>Phase 13 — Images Needed in Sanity</t>
        </is>
      </c>
    </row>
    <row r="309">
      <c r="A309" s="4" t="n"/>
      <c r="B309" s="4" t="inlineStr">
        <is>
          <t>22 posts have a real hero image, now live in Sanity (17 already on RampRate's own CloudFront + 4 rescued from the legacy /api/img/ proxy + 1…</t>
        </is>
      </c>
      <c r="C309" s="13" t="inlineStr">
        <is>
          <t>Done</t>
        </is>
      </c>
      <c r="D309" s="4" t="inlineStr">
        <is>
          <t xml:space="preserve"> rescued from /manus-storage/, all pulled over by migrate-blog-posts.ts before Manus is decommissioned)</t>
        </is>
      </c>
      <c r="E309" s="14" t="inlineStr">
        <is>
          <t>Phase 13 — Images Needed in Sanity</t>
        </is>
      </c>
    </row>
    <row r="310">
      <c r="A310" s="4" t="n"/>
      <c r="B310" s="4" t="inlineStr">
        <is>
          <t>7 more posts got a real, unique hero image rescued from the live legacy site's newly-added art this pass (scripts/rescue-2026-09-blog-images…</t>
        </is>
      </c>
      <c r="C310" s="13" t="inlineStr">
        <is>
          <t>Done</t>
        </is>
      </c>
      <c r="D310"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0" s="14" t="inlineStr">
        <is>
          <t>Phase 13 — Images Needed in Sanity</t>
        </is>
      </c>
    </row>
    <row r="311">
      <c r="A311" s="4" t="n"/>
      <c r="B311" s="4" t="inlineStr">
        <is>
          <t>92 posts still need a real, unique hero image</t>
        </is>
      </c>
      <c r="C311" s="15" t="inlineStr">
        <is>
          <t>Remaining</t>
        </is>
      </c>
      <c r="D311"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1" s="14" t="inlineStr">
        <is>
          <t>Phase 13 — Images Needed in Sanity</t>
        </is>
      </c>
    </row>
    <row r="312">
      <c r="A312" s="4" t="n"/>
      <c r="B312" s="4" t="inlineStr">
        <is>
          <t>Blog: per-post OG image if different from hero (many posts can reuse hero as OG)</t>
        </is>
      </c>
      <c r="C312" s="13" t="inlineStr">
        <is>
          <t>Done</t>
        </is>
      </c>
      <c r="D312" s="4" t="inlineStr">
        <is>
          <t>Confirmed 2026-10-02: generateMetadata uses seo.ogImage, else the hero, else the default OG image.</t>
        </is>
      </c>
      <c r="E312" s="14" t="inlineStr">
        <is>
          <t>Phase 13 — Images Needed in Sanity</t>
        </is>
      </c>
    </row>
    <row r="313">
      <c r="A313" s="4" t="n"/>
      <c r="B313" s="4" t="inlineStr">
        <is>
          <t>Marketing pages</t>
        </is>
      </c>
      <c r="C313" s="13" t="inlineStr">
        <is>
          <t>Done</t>
        </is>
      </c>
      <c r="D313"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13" s="14" t="inlineStr">
        <is>
          <t>Phase 13 — Images Needed in Sanity</t>
        </is>
      </c>
    </row>
    <row r="314">
      <c r="A314" s="4" t="n"/>
      <c r="B314" s="4" t="inlineStr">
        <is>
          <t>/akbar essay images</t>
        </is>
      </c>
      <c r="C314" s="13" t="inlineStr">
        <is>
          <t>Done</t>
        </is>
      </c>
      <c r="D314"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14" s="14" t="inlineStr">
        <is>
          <t>Phase 13 — Images Needed in Sanity</t>
        </is>
      </c>
    </row>
    <row r="315">
      <c r="A315" s="4" t="n"/>
      <c r="B315" s="4" t="inlineStr">
        <is>
          <t>Rescued page images wired back in (2026-09-29)</t>
        </is>
      </c>
      <c r="C315" s="13" t="inlineStr">
        <is>
          <t>Done</t>
        </is>
      </c>
      <c r="D315"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15" s="14" t="inlineStr">
        <is>
          <t>Phase 13 — Images Needed in Sanity</t>
        </is>
      </c>
    </row>
    <row r="316">
      <c r="A316" s="4" t="n"/>
      <c r="B316" s="4" t="inlineStr">
        <is>
          <t>BrewSoul: coffee/product images (brewsoul-coffees-expanded.ts likely has image refs</t>
        </is>
      </c>
      <c r="C316" s="13" t="inlineStr">
        <is>
          <t>Done</t>
        </is>
      </c>
      <c r="D316"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6" s="14" t="inlineStr">
        <is>
          <t>Phase 13 — Images Needed in Sanity</t>
        </is>
      </c>
    </row>
    <row r="317">
      <c r="A317" s="4" t="n"/>
      <c r="B317" s="4" t="inlineStr">
        <is>
          <t>65 page images moved off the Manus storage copy into Sanity (2026-10-02)</t>
        </is>
      </c>
      <c r="C317" s="13" t="inlineStr">
        <is>
          <t>Done</t>
        </is>
      </c>
      <c r="D317"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17" s="14" t="inlineStr">
        <is>
          <t>Phase 13 — Images Needed in Sanity</t>
        </is>
      </c>
    </row>
    <row r="318">
      <c r="A318" s="4" t="n"/>
      <c r="B318" s="4" t="inlineStr">
        <is>
          <t>PRI/Kava: medicine reference images (medicine-images.ts), facility images for /facilitator-index</t>
        </is>
      </c>
      <c r="C318" s="13" t="inlineStr">
        <is>
          <t>Done</t>
        </is>
      </c>
      <c r="D318" s="4" t="inlineStr">
        <is>
          <t>2026-10-02: all in Sanity; image counts match live on PRI, Kava, Iboga, Peyote, facilitator pages.</t>
        </is>
      </c>
      <c r="E318" s="14" t="inlineStr">
        <is>
          <t>Phase 13 — Images Needed in Sanity</t>
        </is>
      </c>
    </row>
    <row r="319">
      <c r="A319" s="4" t="n"/>
      <c r="B319" s="4" t="inlineStr">
        <is>
          <t>Manifesto/Attention Theft: any diagram/illustration assets used on the mega-page</t>
        </is>
      </c>
      <c r="C319" s="13" t="inlineStr">
        <is>
          <t>Done</t>
        </is>
      </c>
      <c r="D319" s="4" t="inlineStr">
        <is>
          <t>2026-10-02: 6 of live's 7 are in (now in Sanity); the 7th belongs to the Wall of Shame section left out on purpose.</t>
        </is>
      </c>
      <c r="E319" s="14" t="inlineStr">
        <is>
          <t>Phase 13 — Images Needed in Sanity</t>
        </is>
      </c>
    </row>
    <row r="320">
      <c r="A320" s="4" t="n"/>
      <c r="B320" s="4" t="inlineStr">
        <is>
          <t>Assessment result-screen background art (flagged in STATUS.md as a known gap</t>
        </is>
      </c>
      <c r="C320" s="15" t="inlineStr">
        <is>
          <t>Remaining</t>
        </is>
      </c>
      <c r="D320" s="4" t="inlineStr">
        <is>
          <t>18/20 assessments currently have plain black backgrounds; sourcing themed art here also closes that gap)</t>
        </is>
      </c>
      <c r="E320" s="14" t="inlineStr">
        <is>
          <t>Phase 13 — Images Needed in Sanity</t>
        </is>
      </c>
    </row>
    <row r="321">
      <c r="A321" s="4" t="n"/>
      <c r="B321" s="4" t="inlineStr">
        <is>
          <t>Chatbot: FauxTony avatar/icon</t>
        </is>
      </c>
      <c r="C321" s="13" t="inlineStr">
        <is>
          <t>Done</t>
        </is>
      </c>
      <c r="D321" s="4" t="inlineStr">
        <is>
          <t>Not needed (2026-10-02): the chatbot phase (Phase 10) was cancelled.</t>
        </is>
      </c>
      <c r="E321" s="14" t="inlineStr">
        <is>
          <t>Phase 13 — Images Needed in Sanity</t>
        </is>
      </c>
    </row>
    <row r="322">
      <c r="A322" s="4" t="n"/>
      <c r="B322" s="4" t="inlineStr">
        <is>
          <t>Audit client/public/ (including alex-azzi/, brewsoul/ subfolders) for any static assets already sitting there unused that should be pulled i…</t>
        </is>
      </c>
      <c r="C322" s="13" t="inlineStr">
        <is>
          <t>Done</t>
        </is>
      </c>
      <c r="D322"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22" s="14" t="inlineStr">
        <is>
          <t>Phase 13 — Images Needed in Sanity</t>
        </is>
      </c>
    </row>
    <row r="323">
      <c r="A323" s="10" t="inlineStr">
        <is>
          <t>Phase 14 — QA &amp; Launch</t>
        </is>
      </c>
      <c r="B323" s="11" t="n"/>
      <c r="C323" s="11" t="n"/>
      <c r="D323" s="12" t="n"/>
    </row>
    <row r="324">
      <c r="A324" s="4" t="n"/>
      <c r="B324" s="4" t="inlineStr">
        <is>
          <t>Mobile responsive pass on every ported section</t>
        </is>
      </c>
      <c r="C324" s="15" t="inlineStr">
        <is>
          <t>Remaining</t>
        </is>
      </c>
      <c r="D324"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24" s="14" t="inlineStr">
        <is>
          <t>Phase 14 — QA &amp; Launch</t>
        </is>
      </c>
    </row>
    <row r="325">
      <c r="A325" s="4" t="n"/>
      <c r="B325" s="4" t="inlineStr">
        <is>
          <t>Accessibility pass (WCAG AA contrast, 44px touch targets, keyboard nav)</t>
        </is>
      </c>
      <c r="C325" s="13" t="inlineStr">
        <is>
          <t>Done</t>
        </is>
      </c>
      <c r="D325"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25" s="14" t="inlineStr">
        <is>
          <t>Phase 14 — QA &amp; Launch</t>
        </is>
      </c>
    </row>
    <row r="326">
      <c r="A326" s="4" t="n"/>
      <c r="B326" s="4" t="inlineStr">
        <is>
          <t>No dead-end pages (every page links to 2+ others)</t>
        </is>
      </c>
      <c r="C326" s="15" t="inlineStr">
        <is>
          <t>Remaining</t>
        </is>
      </c>
      <c r="D326"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6" s="14" t="inlineStr">
        <is>
          <t>Phase 14 — QA &amp; Launch</t>
        </is>
      </c>
    </row>
    <row r="327">
      <c r="A327" s="4" t="n"/>
      <c r="B327" s="4" t="inlineStr">
        <is>
          <t>Cross-browser check (Safari iOS in particular, per legacy performance notes) 2026-10-06 WebKit pass (Playwright WebKit, iPhone 13 profile, 1…</t>
        </is>
      </c>
      <c r="C327" s="15" t="inlineStr">
        <is>
          <t>Remaining</t>
        </is>
      </c>
      <c r="D327"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27" s="14" t="inlineStr">
        <is>
          <t>Phase 14 — QA &amp; Launch</t>
        </is>
      </c>
    </row>
    <row r="328">
      <c r="A328" s="4" t="n"/>
      <c r="B328" s="4" t="inlineStr">
        <is>
          <t>Remove noindex only when sign-off is given</t>
        </is>
      </c>
      <c r="C328" s="15" t="inlineStr">
        <is>
          <t>Remaining</t>
        </is>
      </c>
      <c r="D328" s="4" t="inlineStr">
        <is>
          <t>do not launch indexable by accident (The only noindex is the host-based one for *.netlify.app above, so the real domain is indexable as soon as DNS points at it: sign-off must come before DNS.)</t>
        </is>
      </c>
      <c r="E328" s="14" t="inlineStr">
        <is>
          <t>Phase 14 — QA &amp; Launch</t>
        </is>
      </c>
    </row>
    <row r="329">
      <c r="A329" s="4" t="n"/>
      <c r="B329" s="4" t="inlineStr">
        <is>
          <t>Final stakeholder sign-off (Tony/Darryl/Kimberly) on the ported site before DNS cutover</t>
        </is>
      </c>
      <c r="C329" s="15" t="inlineStr">
        <is>
          <t>Remaining</t>
        </is>
      </c>
      <c r="D329" s="4" t="inlineStr"/>
      <c r="E329" s="14" t="inlineStr">
        <is>
          <t>Phase 14 — QA &amp; Launch</t>
        </is>
      </c>
    </row>
    <row r="330">
      <c r="A330" s="4" t="n"/>
      <c r="B330" s="4" t="inlineStr">
        <is>
          <t>DNS cutover, legacy app decommissioned only after a stable overlap window</t>
        </is>
      </c>
      <c r="C330" s="15" t="inlineStr">
        <is>
          <t>Remaining</t>
        </is>
      </c>
      <c r="D330" s="4" t="inlineStr"/>
      <c r="E330" s="14" t="inlineStr">
        <is>
          <t>Phase 14 — QA &amp; Launch</t>
        </is>
      </c>
    </row>
  </sheetData>
  <autoFilter ref="A1:D330"/>
  <mergeCells count="14">
    <mergeCell ref="A150:D150"/>
    <mergeCell ref="A303:D303"/>
    <mergeCell ref="A237:D237"/>
    <mergeCell ref="A58:D58"/>
    <mergeCell ref="A258:D258"/>
    <mergeCell ref="A209:D209"/>
    <mergeCell ref="A205:D205"/>
    <mergeCell ref="A15:D15"/>
    <mergeCell ref="A43:D43"/>
    <mergeCell ref="A2:D2"/>
    <mergeCell ref="A323:D323"/>
    <mergeCell ref="A183:D183"/>
    <mergeCell ref="A32:D32"/>
    <mergeCell ref="A123:D1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Run the database scripts once, in order</t>
        </is>
      </c>
      <c r="C4" s="15" t="inlineStr">
        <is>
          <t>Remaining</t>
        </is>
      </c>
      <c r="D4"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 s="14" t="inlineStr">
        <is>
          <t>Phase 2 — Supabase</t>
        </is>
      </c>
    </row>
    <row r="5">
      <c r="A5" s="10" t="inlineStr">
        <is>
          <t>Phase 4 — Marketing Core Pages (30 routes)</t>
        </is>
      </c>
      <c r="B5" s="11" t="n"/>
      <c r="C5" s="11" t="n"/>
      <c r="D5" s="12" t="n"/>
    </row>
    <row r="6">
      <c r="A6" s="4" t="n"/>
      <c r="B6" s="4" t="inlineStr">
        <is>
          <t>/shop, /payment-success, /payment-cancel</t>
        </is>
      </c>
      <c r="C6" s="16" t="inlineStr">
        <is>
          <t>Deferred</t>
        </is>
      </c>
      <c r="D6" s="4" t="inlineStr">
        <is>
          <t>defer: these are Stripe-backed; flag for the later billing-migration phase, do not port checkout logic yet, static/informational content only if ported now</t>
        </is>
      </c>
      <c r="E6" s="14" t="inlineStr">
        <is>
          <t>Phase 4 — Marketing Core Pages (30 routes)</t>
        </is>
      </c>
    </row>
    <row r="7">
      <c r="A7" s="10" t="inlineStr">
        <is>
          <t>Phase 11 — Code MCP Server — REBUILT (2026-09-29)</t>
        </is>
      </c>
      <c r="B7" s="11" t="n"/>
      <c r="C7" s="11" t="n"/>
      <c r="D7" s="12" t="n"/>
    </row>
    <row r="8">
      <c r="A8" s="4" t="n"/>
      <c r="B8" s="4" t="inlineStr">
        <is>
          <t>Set GITHUB_TOKEN, MCP_ADMIN_USERS, MCP_LOGIN_PASSWORD, MCP_OAUTH_SECRET, MCP_SITE_ORIGIN, MCP_PUBLIC_ORIGIN in Netlify (done) (checked 2026-…</t>
        </is>
      </c>
      <c r="C8" s="15" t="inlineStr">
        <is>
          <t>Remaining</t>
        </is>
      </c>
      <c r="D8" s="4" t="inlineStr">
        <is>
          <t>10-07: all already set in Netlify). Left: connect Claude.ai to /api/mcp for real, and verify the GitHub flow end to end (branch → PR → deploy preview → publish_changes) against a real PR.</t>
        </is>
      </c>
      <c r="E8" s="14" t="inlineStr">
        <is>
          <t>Phase 11 — Code MCP Server — REBUILT (2026-09-29)</t>
        </is>
      </c>
    </row>
    <row r="9">
      <c r="A9" s="4" t="n"/>
      <c r="B9" s="4" t="inlineStr">
        <is>
          <t>Commit a team-wide .mcp.json (URL only) once the production URL is settled.</t>
        </is>
      </c>
      <c r="C9" s="15" t="inlineStr">
        <is>
          <t>Remaining</t>
        </is>
      </c>
      <c r="D9" s="4" t="inlineStr"/>
      <c r="E9" s="14" t="inlineStr">
        <is>
          <t>Phase 11 — Code MCP Server — REBUILT (2026-09-29)</t>
        </is>
      </c>
    </row>
    <row r="10">
      <c r="A10" s="4" t="n"/>
      <c r="B10" s="4" t="inlineStr">
        <is>
          <t>Blocked on you (Google)</t>
        </is>
      </c>
      <c r="C10" s="15" t="inlineStr">
        <is>
          <t>Remaining</t>
        </is>
      </c>
      <c r="D10"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0" s="14" t="inlineStr">
        <is>
          <t>Phase 11 — Code MCP Server — REBUILT (2026-09-29)</t>
        </is>
      </c>
    </row>
    <row r="11">
      <c r="A11" s="4" t="n"/>
      <c r="B11" s="4" t="inlineStr">
        <is>
          <t>Test the new review end to end on a deploy preview</t>
        </is>
      </c>
      <c r="C11" s="15" t="inlineStr">
        <is>
          <t>Remaining</t>
        </is>
      </c>
      <c r="D11" s="4" t="inlineStr">
        <is>
          <t>(needs a yes, it opens a real pull request): one throwaway change from Claude.ai or ChatGPT: start (unclear request, so the confirm step shows), confirm, edit, review card, screenshots, upload link, then discard.</t>
        </is>
      </c>
      <c r="E11" s="14" t="inlineStr">
        <is>
          <t>Phase 11 — Code MCP Server — REBUILT (2026-09-29)</t>
        </is>
      </c>
    </row>
    <row r="12">
      <c r="A12" s="10" t="inlineStr">
        <is>
          <t>Phase 12 — SEO Hardening, Redirects &amp; Cutover Prep</t>
        </is>
      </c>
      <c r="B12" s="11" t="n"/>
      <c r="C12" s="11" t="n"/>
      <c r="D12" s="12" t="n"/>
    </row>
    <row r="13">
      <c r="A13" s="4" t="n"/>
      <c r="B13" s="4" t="inlineStr">
        <is>
          <t>Lighthouse pass (performance/accessibility/SEO) on top 20 pages by traffic 2026-09-30, 20 key pages (no traffic data yet), local production …</t>
        </is>
      </c>
      <c r="C13" s="15" t="inlineStr">
        <is>
          <t>Remaining</t>
        </is>
      </c>
      <c r="D13"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3" s="14" t="inlineStr">
        <is>
          <t>Phase 12 — SEO Hardening, Redirects &amp; Cutover Prep</t>
        </is>
      </c>
    </row>
    <row r="14">
      <c r="A14" s="4" t="n"/>
      <c r="B14" s="4" t="inlineStr">
        <is>
          <t>SEO audit items needing a yes (2026-10-06)</t>
        </is>
      </c>
      <c r="C14" s="15" t="inlineStr">
        <is>
          <t>Remaining</t>
        </is>
      </c>
      <c r="D14"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4" s="14" t="inlineStr">
        <is>
          <t>Phase 12 — SEO Hardening, Redirects &amp; Cutover Prep</t>
        </is>
      </c>
    </row>
    <row r="15">
      <c r="A15" s="4" t="n"/>
      <c r="B15" s="4" t="inlineStr">
        <is>
          <t>Connect Google Search Console + GA4 to the new deployment on day one of cutover</t>
        </is>
      </c>
      <c r="C15" s="15" t="inlineStr">
        <is>
          <t>Remaining</t>
        </is>
      </c>
      <c r="D15" s="4" t="inlineStr"/>
      <c r="E15" s="14" t="inlineStr">
        <is>
          <t>Phase 12 — SEO Hardening, Redirects &amp; Cutover Prep</t>
        </is>
      </c>
    </row>
    <row r="16">
      <c r="A16" s="10" t="inlineStr">
        <is>
          <t>Phase 13 — Images Needed in Sanity</t>
        </is>
      </c>
      <c r="B16" s="11" t="n"/>
      <c r="C16" s="11" t="n"/>
      <c r="D16" s="12" t="n"/>
    </row>
    <row r="17">
      <c r="A17" s="4" t="n"/>
      <c r="B17" s="4" t="inlineStr">
        <is>
          <t>Site-wide: logo (light + dark) beyond the current text wordmark</t>
        </is>
      </c>
      <c r="C17" s="15" t="inlineStr">
        <is>
          <t>Remaining</t>
        </is>
      </c>
      <c r="D17" s="4" t="inlineStr">
        <is>
          <t>(Default/fallback OG image 1200×630 exists: public/images/default-og.png, checked 2026-10-02.)</t>
        </is>
      </c>
      <c r="E17" s="14" t="inlineStr">
        <is>
          <t>Phase 13 — Images Needed in Sanity</t>
        </is>
      </c>
    </row>
    <row r="18">
      <c r="A18" s="4" t="n"/>
      <c r="B18" s="4" t="inlineStr">
        <is>
          <t>92 posts still need a real, unique hero image</t>
        </is>
      </c>
      <c r="C18" s="15" t="inlineStr">
        <is>
          <t>Remaining</t>
        </is>
      </c>
      <c r="D18"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8" s="14" t="inlineStr">
        <is>
          <t>Phase 13 — Images Needed in Sanity</t>
        </is>
      </c>
    </row>
    <row r="19">
      <c r="A19" s="4" t="n"/>
      <c r="B19" s="4" t="inlineStr">
        <is>
          <t>Assessment result-screen background art (flagged in STATUS.md as a known gap</t>
        </is>
      </c>
      <c r="C19" s="15" t="inlineStr">
        <is>
          <t>Remaining</t>
        </is>
      </c>
      <c r="D19" s="4" t="inlineStr">
        <is>
          <t>18/20 assessments currently have plain black backgrounds; sourcing themed art here also closes that gap)</t>
        </is>
      </c>
      <c r="E19" s="14" t="inlineStr">
        <is>
          <t>Phase 13 — Images Needed in Sanity</t>
        </is>
      </c>
    </row>
    <row r="20">
      <c r="A20" s="10" t="inlineStr">
        <is>
          <t>Phase 14 — QA &amp; Launch</t>
        </is>
      </c>
      <c r="B20" s="11" t="n"/>
      <c r="C20" s="11" t="n"/>
      <c r="D20" s="12" t="n"/>
    </row>
    <row r="21">
      <c r="A21" s="4" t="n"/>
      <c r="B21" s="4" t="inlineStr">
        <is>
          <t>Mobile responsive pass on every ported section</t>
        </is>
      </c>
      <c r="C21" s="15" t="inlineStr">
        <is>
          <t>Remaining</t>
        </is>
      </c>
      <c r="D21"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21" s="14" t="inlineStr">
        <is>
          <t>Phase 14 — QA &amp; Launch</t>
        </is>
      </c>
    </row>
    <row r="22">
      <c r="A22" s="4" t="n"/>
      <c r="B22" s="4" t="inlineStr">
        <is>
          <t>No dead-end pages (every page links to 2+ others)</t>
        </is>
      </c>
      <c r="C22" s="15" t="inlineStr">
        <is>
          <t>Remaining</t>
        </is>
      </c>
      <c r="D22"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2" s="14" t="inlineStr">
        <is>
          <t>Phase 14 — QA &amp; Launch</t>
        </is>
      </c>
    </row>
    <row r="23">
      <c r="A23" s="4" t="n"/>
      <c r="B23" s="4" t="inlineStr">
        <is>
          <t>Cross-browser check (Safari iOS in particular, per legacy performance notes) 2026-10-06 WebKit pass (Playwright WebKit, iPhone 13 profile, 1…</t>
        </is>
      </c>
      <c r="C23" s="15" t="inlineStr">
        <is>
          <t>Remaining</t>
        </is>
      </c>
      <c r="D23"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3" s="14" t="inlineStr">
        <is>
          <t>Phase 14 — QA &amp; Launch</t>
        </is>
      </c>
    </row>
    <row r="24">
      <c r="A24" s="4" t="n"/>
      <c r="B24" s="4" t="inlineStr">
        <is>
          <t>Remove noindex only when sign-off is given</t>
        </is>
      </c>
      <c r="C24" s="15" t="inlineStr">
        <is>
          <t>Remaining</t>
        </is>
      </c>
      <c r="D24" s="4" t="inlineStr">
        <is>
          <t>do not launch indexable by accident (The only noindex is the host-based one for *.netlify.app above, so the real domain is indexable as soon as DNS points at it: sign-off must come before DNS.)</t>
        </is>
      </c>
      <c r="E24" s="14" t="inlineStr">
        <is>
          <t>Phase 14 — QA &amp; Launch</t>
        </is>
      </c>
    </row>
    <row r="25">
      <c r="A25" s="4" t="n"/>
      <c r="B25" s="4" t="inlineStr">
        <is>
          <t>Final stakeholder sign-off (Tony/Darryl/Kimberly) on the ported site before DNS cutover</t>
        </is>
      </c>
      <c r="C25" s="15" t="inlineStr">
        <is>
          <t>Remaining</t>
        </is>
      </c>
      <c r="D25" s="4" t="inlineStr"/>
      <c r="E25" s="14" t="inlineStr">
        <is>
          <t>Phase 14 — QA &amp; Launch</t>
        </is>
      </c>
    </row>
    <row r="26">
      <c r="A26" s="4" t="n"/>
      <c r="B26" s="4" t="inlineStr">
        <is>
          <t>DNS cutover, legacy app decommissioned only after a stable overlap window</t>
        </is>
      </c>
      <c r="C26" s="15" t="inlineStr">
        <is>
          <t>Remaining</t>
        </is>
      </c>
      <c r="D26" s="4" t="inlineStr"/>
      <c r="E26" s="14" t="inlineStr">
        <is>
          <t>Phase 14 — QA &amp; Launch</t>
        </is>
      </c>
    </row>
  </sheetData>
  <autoFilter ref="A1:D26"/>
  <mergeCells count="6">
    <mergeCell ref="A5:D5"/>
    <mergeCell ref="A12:D12"/>
    <mergeCell ref="A20:D20"/>
    <mergeCell ref="A7:D7"/>
    <mergeCell ref="A2:D2"/>
    <mergeCell ref="A16:D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2026-10-08T21:01:28Z</dcterms:created>
  <dcterms:modified xsi:type="dcterms:W3CDTF">2026-10-08T21:01:28Z</dcterms:modified>
</cp:coreProperties>
</file>