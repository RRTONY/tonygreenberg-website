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Detail'!$A$1:$D$354</definedName>
    <definedName name="_xlnm._FilterDatabase" localSheetId="2" hidden="1">'Remaining Work'!$A$1:$D$18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2026-10-16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Detail'!$E$2:$E$354,$A5,'Full Detail'!$C$2:$C$354,"Done")</f>
        <v/>
      </c>
      <c r="C5" s="5">
        <f>COUNTIFS('Full Detail'!$E$2:$E$354,$A5,'Full Detail'!$C$2:$C$354,"Remaining")</f>
        <v/>
      </c>
      <c r="D5" s="5">
        <f>COUNTIFS('Full Detail'!$E$2:$E$354,$A5,'Full Detail'!$C$2:$C$354,"Deferred")</f>
        <v/>
      </c>
      <c r="E5" s="5">
        <f>SUM(B5:D5)</f>
        <v/>
      </c>
      <c r="F5" s="6">
        <f>IF(E5=0,0,B5/E5)</f>
        <v/>
      </c>
    </row>
    <row r="6">
      <c r="A6" s="4" t="inlineStr">
        <is>
          <t>Phase 1 — Sanity Studio &amp; Schema</t>
        </is>
      </c>
      <c r="B6" s="5">
        <f>COUNTIFS('Full Detail'!$E$2:$E$354,$A6,'Full Detail'!$C$2:$C$354,"Done")</f>
        <v/>
      </c>
      <c r="C6" s="5">
        <f>COUNTIFS('Full Detail'!$E$2:$E$354,$A6,'Full Detail'!$C$2:$C$354,"Remaining")</f>
        <v/>
      </c>
      <c r="D6" s="5">
        <f>COUNTIFS('Full Detail'!$E$2:$E$354,$A6,'Full Detail'!$C$2:$C$354,"Deferred")</f>
        <v/>
      </c>
      <c r="E6" s="5">
        <f>SUM(B6:D6)</f>
        <v/>
      </c>
      <c r="F6" s="6">
        <f>IF(E6=0,0,B6/E6)</f>
        <v/>
      </c>
    </row>
    <row r="7">
      <c r="A7" s="4" t="inlineStr">
        <is>
          <t>Phase 2 — Supabase</t>
        </is>
      </c>
      <c r="B7" s="5">
        <f>COUNTIFS('Full Detail'!$E$2:$E$354,$A7,'Full Detail'!$C$2:$C$354,"Done")</f>
        <v/>
      </c>
      <c r="C7" s="5">
        <f>COUNTIFS('Full Detail'!$E$2:$E$354,$A7,'Full Detail'!$C$2:$C$354,"Remaining")</f>
        <v/>
      </c>
      <c r="D7" s="5">
        <f>COUNTIFS('Full Detail'!$E$2:$E$354,$A7,'Full Detail'!$C$2:$C$354,"Deferred")</f>
        <v/>
      </c>
      <c r="E7" s="5">
        <f>SUM(B7:D7)</f>
        <v/>
      </c>
      <c r="F7" s="6">
        <f>IF(E7=0,0,B7/E7)</f>
        <v/>
      </c>
    </row>
    <row r="8">
      <c r="A8" s="4" t="inlineStr">
        <is>
          <t>Phase 3 — Shared Layout &amp; Design System</t>
        </is>
      </c>
      <c r="B8" s="5">
        <f>COUNTIFS('Full Detail'!$E$2:$E$354,$A8,'Full Detail'!$C$2:$C$354,"Done")</f>
        <v/>
      </c>
      <c r="C8" s="5">
        <f>COUNTIFS('Full Detail'!$E$2:$E$354,$A8,'Full Detail'!$C$2:$C$354,"Remaining")</f>
        <v/>
      </c>
      <c r="D8" s="5">
        <f>COUNTIFS('Full Detail'!$E$2:$E$354,$A8,'Full Detail'!$C$2:$C$354,"Deferred")</f>
        <v/>
      </c>
      <c r="E8" s="5">
        <f>SUM(B8:D8)</f>
        <v/>
      </c>
      <c r="F8" s="6">
        <f>IF(E8=0,0,B8/E8)</f>
        <v/>
      </c>
    </row>
    <row r="9">
      <c r="A9" s="4" t="inlineStr">
        <is>
          <t>Phase 4 — Marketing Core Pages (30 routes)</t>
        </is>
      </c>
      <c r="B9" s="5">
        <f>COUNTIFS('Full Detail'!$E$2:$E$354,$A9,'Full Detail'!$C$2:$C$354,"Done")</f>
        <v/>
      </c>
      <c r="C9" s="5">
        <f>COUNTIFS('Full Detail'!$E$2:$E$354,$A9,'Full Detail'!$C$2:$C$354,"Remaining")</f>
        <v/>
      </c>
      <c r="D9" s="5">
        <f>COUNTIFS('Full Detail'!$E$2:$E$354,$A9,'Full Detail'!$C$2:$C$354,"Deferred")</f>
        <v/>
      </c>
      <c r="E9" s="5">
        <f>SUM(B9:D9)</f>
        <v/>
      </c>
      <c r="F9" s="6">
        <f>IF(E9=0,0,B9/E9)</f>
        <v/>
      </c>
    </row>
    <row r="10">
      <c r="A10" s="4" t="inlineStr">
        <is>
          <t>Phase 5 — Blog Engine (Sanity-backed)</t>
        </is>
      </c>
      <c r="B10" s="5">
        <f>COUNTIFS('Full Detail'!$E$2:$E$354,$A10,'Full Detail'!$C$2:$C$354,"Done")</f>
        <v/>
      </c>
      <c r="C10" s="5">
        <f>COUNTIFS('Full Detail'!$E$2:$E$354,$A10,'Full Detail'!$C$2:$C$354,"Remaining")</f>
        <v/>
      </c>
      <c r="D10" s="5">
        <f>COUNTIFS('Full Detail'!$E$2:$E$354,$A10,'Full Detail'!$C$2:$C$354,"Deferred")</f>
        <v/>
      </c>
      <c r="E10" s="5">
        <f>SUM(B10:D10)</f>
        <v/>
      </c>
      <c r="F10" s="6">
        <f>IF(E10=0,0,B10/E10)</f>
        <v/>
      </c>
    </row>
    <row r="11">
      <c r="A11" s="4" t="inlineStr">
        <is>
          <t>Phase 6 — BrewSoul (28 routes)</t>
        </is>
      </c>
      <c r="B11" s="5">
        <f>COUNTIFS('Full Detail'!$E$2:$E$354,$A11,'Full Detail'!$C$2:$C$354,"Done")</f>
        <v/>
      </c>
      <c r="C11" s="5">
        <f>COUNTIFS('Full Detail'!$E$2:$E$354,$A11,'Full Detail'!$C$2:$C$354,"Remaining")</f>
        <v/>
      </c>
      <c r="D11" s="5">
        <f>COUNTIFS('Full Detail'!$E$2:$E$354,$A11,'Full Detail'!$C$2:$C$354,"Deferred")</f>
        <v/>
      </c>
      <c r="E11" s="5">
        <f>SUM(B11:D11)</f>
        <v/>
      </c>
      <c r="F11" s="6">
        <f>IF(E11=0,0,B11/E11)</f>
        <v/>
      </c>
    </row>
    <row r="12">
      <c r="A12" s="4" t="inlineStr">
        <is>
          <t>Phase 7 — PRI &amp; Kava Encyclopedias (19 routes)</t>
        </is>
      </c>
      <c r="B12" s="5">
        <f>COUNTIFS('Full Detail'!$E$2:$E$354,$A12,'Full Detail'!$C$2:$C$354,"Done")</f>
        <v/>
      </c>
      <c r="C12" s="5">
        <f>COUNTIFS('Full Detail'!$E$2:$E$354,$A12,'Full Detail'!$C$2:$C$354,"Remaining")</f>
        <v/>
      </c>
      <c r="D12" s="5">
        <f>COUNTIFS('Full Detail'!$E$2:$E$354,$A12,'Full Detail'!$C$2:$C$354,"Deferred")</f>
        <v/>
      </c>
      <c r="E12" s="5">
        <f>SUM(B12:D12)</f>
        <v/>
      </c>
      <c r="F12" s="6">
        <f>IF(E12=0,0,B12/E12)</f>
        <v/>
      </c>
    </row>
    <row r="13">
      <c r="A13" s="4" t="inlineStr">
        <is>
          <t>Phase 8 — Attention Theft Manifesto (7 routes)</t>
        </is>
      </c>
      <c r="B13" s="5">
        <f>COUNTIFS('Full Detail'!$E$2:$E$354,$A13,'Full Detail'!$C$2:$C$354,"Done")</f>
        <v/>
      </c>
      <c r="C13" s="5">
        <f>COUNTIFS('Full Detail'!$E$2:$E$354,$A13,'Full Detail'!$C$2:$C$354,"Remaining")</f>
        <v/>
      </c>
      <c r="D13" s="5">
        <f>COUNTIFS('Full Detail'!$E$2:$E$354,$A13,'Full Detail'!$C$2:$C$354,"Deferred")</f>
        <v/>
      </c>
      <c r="E13" s="5">
        <f>SUM(B13:D13)</f>
        <v/>
      </c>
      <c r="F13" s="6">
        <f>IF(E13=0,0,B13/E13)</f>
        <v/>
      </c>
    </row>
    <row r="14">
      <c r="A14" s="4" t="inlineStr">
        <is>
          <t>Phase 9 — Assessments (33 routes)</t>
        </is>
      </c>
      <c r="B14" s="5">
        <f>COUNTIFS('Full Detail'!$E$2:$E$354,$A14,'Full Detail'!$C$2:$C$354,"Done")</f>
        <v/>
      </c>
      <c r="C14" s="5">
        <f>COUNTIFS('Full Detail'!$E$2:$E$354,$A14,'Full Detail'!$C$2:$C$354,"Remaining")</f>
        <v/>
      </c>
      <c r="D14" s="5">
        <f>COUNTIFS('Full Detail'!$E$2:$E$354,$A14,'Full Detail'!$C$2:$C$354,"Deferred")</f>
        <v/>
      </c>
      <c r="E14" s="5">
        <f>SUM(B14:D14)</f>
        <v/>
      </c>
      <c r="F14" s="6">
        <f>IF(E14=0,0,B14/E14)</f>
        <v/>
      </c>
    </row>
    <row r="15">
      <c r="A15" s="4" t="inlineStr">
        <is>
          <t>Phase 10 — FauxTony Chatbot — CANCELLED (2026-09-10)</t>
        </is>
      </c>
      <c r="B15" s="5">
        <f>COUNTIFS('Full Detail'!$E$2:$E$354,$A15,'Full Detail'!$C$2:$C$354,"Done")</f>
        <v/>
      </c>
      <c r="C15" s="5">
        <f>COUNTIFS('Full Detail'!$E$2:$E$354,$A15,'Full Detail'!$C$2:$C$354,"Remaining")</f>
        <v/>
      </c>
      <c r="D15" s="5">
        <f>COUNTIFS('Full Detail'!$E$2:$E$354,$A15,'Full Detail'!$C$2:$C$354,"Deferred")</f>
        <v/>
      </c>
      <c r="E15" s="5">
        <f>SUM(B15:D15)</f>
        <v/>
      </c>
      <c r="F15" s="6">
        <f>IF(E15=0,0,B15/E15)</f>
        <v/>
      </c>
    </row>
    <row r="16">
      <c r="A16" s="4" t="inlineStr">
        <is>
          <t>Phase 11 — Code MCP Server — REBUILT (2026-09-29)</t>
        </is>
      </c>
      <c r="B16" s="5">
        <f>COUNTIFS('Full Detail'!$E$2:$E$354,$A16,'Full Detail'!$C$2:$C$354,"Done")</f>
        <v/>
      </c>
      <c r="C16" s="5">
        <f>COUNTIFS('Full Detail'!$E$2:$E$354,$A16,'Full Detail'!$C$2:$C$354,"Remaining")</f>
        <v/>
      </c>
      <c r="D16" s="5">
        <f>COUNTIFS('Full Detail'!$E$2:$E$354,$A16,'Full Detail'!$C$2:$C$354,"Deferred")</f>
        <v/>
      </c>
      <c r="E16" s="5">
        <f>SUM(B16:D16)</f>
        <v/>
      </c>
      <c r="F16" s="6">
        <f>IF(E16=0,0,B16/E16)</f>
        <v/>
      </c>
    </row>
    <row r="17">
      <c r="A17" s="4" t="inlineStr">
        <is>
          <t>Phase 12 — SEO Hardening, Redirects &amp; Cutover Prep</t>
        </is>
      </c>
      <c r="B17" s="5">
        <f>COUNTIFS('Full Detail'!$E$2:$E$354,$A17,'Full Detail'!$C$2:$C$354,"Done")</f>
        <v/>
      </c>
      <c r="C17" s="5">
        <f>COUNTIFS('Full Detail'!$E$2:$E$354,$A17,'Full Detail'!$C$2:$C$354,"Remaining")</f>
        <v/>
      </c>
      <c r="D17" s="5">
        <f>COUNTIFS('Full Detail'!$E$2:$E$354,$A17,'Full Detail'!$C$2:$C$354,"Deferred")</f>
        <v/>
      </c>
      <c r="E17" s="5">
        <f>SUM(B17:D17)</f>
        <v/>
      </c>
      <c r="F17" s="6">
        <f>IF(E17=0,0,B17/E17)</f>
        <v/>
      </c>
    </row>
    <row r="18">
      <c r="A18" s="4" t="inlineStr">
        <is>
          <t>Phase 13 — Images Needed in Sanity</t>
        </is>
      </c>
      <c r="B18" s="5">
        <f>COUNTIFS('Full Detail'!$E$2:$E$354,$A18,'Full Detail'!$C$2:$C$354,"Done")</f>
        <v/>
      </c>
      <c r="C18" s="5">
        <f>COUNTIFS('Full Detail'!$E$2:$E$354,$A18,'Full Detail'!$C$2:$C$354,"Remaining")</f>
        <v/>
      </c>
      <c r="D18" s="5">
        <f>COUNTIFS('Full Detail'!$E$2:$E$354,$A18,'Full Detail'!$C$2:$C$354,"Deferred")</f>
        <v/>
      </c>
      <c r="E18" s="5">
        <f>SUM(B18:D18)</f>
        <v/>
      </c>
      <c r="F18" s="6">
        <f>IF(E18=0,0,B18/E18)</f>
        <v/>
      </c>
    </row>
    <row r="19">
      <c r="A19" s="4" t="inlineStr">
        <is>
          <t>Phase 14 — QA &amp; Launch</t>
        </is>
      </c>
      <c r="B19" s="5">
        <f>COUNTIFS('Full Detail'!$E$2:$E$354,$A19,'Full Detail'!$C$2:$C$354,"Done")</f>
        <v/>
      </c>
      <c r="C19" s="5">
        <f>COUNTIFS('Full Detail'!$E$2:$E$354,$A19,'Full Detail'!$C$2:$C$354,"Remaining")</f>
        <v/>
      </c>
      <c r="D19" s="5">
        <f>COUNTIFS('Full Detail'!$E$2:$E$354,$A19,'Full Detail'!$C$2:$C$354,"Deferred")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4"/>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4" t="n"/>
      <c r="B156" s="4" t="inlineStr">
        <is>
          <t>Curated Journeys sidebar checked and fixed</t>
        </is>
      </c>
      <c r="C156" s="13" t="inlineStr">
        <is>
          <t>Done</t>
        </is>
      </c>
      <c r="D156" s="4" t="inlineStr">
        <is>
          <t>(owner, 2026-10-14: "check it's real data"). All 29 essays in the 7 journeys exist in Sanity and the counts match live (5, 4, 4, 4, 4, 4, 4). But every journey linked to /journeys, where 5 of the 7 don't exist (dead end, same on live). Now a click filters the archive to that journey's essays ("Curated Journey: ..." heading, "Show all essays" to clear) and scrolls to them; counts come from published essays (journeyCounts in summarizeArchive). Checked in a browser on / and /blog: all 7 journeys show exactly their essays, no JS errors. Also found: Most Read / Most Provocative match live's lists, but live's "19,694 reads" are numbers typed into the old site's data file, not real. GA4 works from this repo and shows a very different real top list (When Healing Becomes Extraction 690 views in 12 months, Your Blood Lies Without Your DNA 222, The 1000-Hour Hold 196...); there is no real data for "Most Provocative" (4 reactions, 0 comments in Supabase). Done (owner: "you can fix"): Most Read now shows the 5 essays with the most Google Analytics page views in the last 12 months (src/lib/content/most-read.ts, getTopEssayPaths in ga4-client.ts), asked of Google at most once a day, no view counts shown, "Past 12 months" label; Most Provocative stays hand-picked. If GA fails or isn't configured it shows live's list. Checked: build (/ and /blog still static), both pages show the GA top 5; a build with GA switched off shows live's list. GOOGLE_GA_CLIENT_EMAIL, GOOGLE_GA_PRIVATE_KEY, GA4_PROPE</t>
        </is>
      </c>
      <c r="E156" s="14" t="inlineStr">
        <is>
          <t>Phase 5 — Blog Engine (Sanity-backed)</t>
        </is>
      </c>
    </row>
    <row r="157">
      <c r="A157" s="4" t="n"/>
      <c r="B157" s="4" t="inlineStr">
        <is>
          <t>Essay archive: search suggestions + more filters</t>
        </is>
      </c>
      <c r="C157" s="13" t="inlineStr">
        <is>
          <t>Done</t>
        </is>
      </c>
      <c r="D157" s="4" t="inlineStr">
        <is>
          <t>(owner asked 2026-10-14, chose: search-as-you-type, and sort, year, reading time, topic). The archive at the bottom of / (and on /blog) was already live data (Sanity, newest first, refreshed within 60s or by the webhook; every essay on live's sitemap is in Sanity). Added: archive-search-box.tsx, a dropdown while typing with matching categories and topics (instant) and essays from /api/search (also matches words inside the essay text); arrow keys + Enter, Escape. Filters: Newest/Oldest, Year, Reading time (under 5, 5 to 10, over 10 min) and Topic (tags used by 3+ essays, about 30 of 874), with "Clear filters"; on phones they fold behind a "Filters" button. Reading time uses the editor's value or a word-count estimate (minutes in allPostsForArchiveQuery; only 34 of 123 posts had one). Checked: type check, lint, build (150 static / 28 dynamic, unchanged), browser on a fresh server: every filter count matches the data (year 2010: 21, neuroscience: 13, 5 to 10 min: 52...), "kurzweil" suggests the H+ essays and Enter opens one, picking a topic suggestion sets the Topic filter; 375 light/dark, 820, 1280: no sideways scroll, no JS errors.</t>
        </is>
      </c>
      <c r="E157" s="14" t="inlineStr">
        <is>
          <t>Phase 5 — Blog Engine (Sanity-backed)</t>
        </is>
      </c>
    </row>
    <row r="158">
      <c r="A158" s="10" t="inlineStr">
        <is>
          <t>Phase 6 — BrewSoul (28 routes)</t>
        </is>
      </c>
      <c r="B158" s="11" t="n"/>
      <c r="C158" s="11" t="n"/>
      <c r="D158" s="12" t="n"/>
    </row>
    <row r="159">
      <c r="A159" s="4" t="n"/>
      <c r="B159" s="4" t="inlineStr">
        <is>
          <t>/brewsoul</t>
        </is>
      </c>
      <c r="C159" s="13" t="inlineStr">
        <is>
          <t>Done</t>
        </is>
      </c>
      <c r="D159"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9" s="14" t="inlineStr">
        <is>
          <t>Phase 6 — BrewSoul (28 routes)</t>
        </is>
      </c>
    </row>
    <row r="160">
      <c r="A160" s="4" t="n"/>
      <c r="B160" s="4" t="inlineStr">
        <is>
          <t>/brewsoul/first-sip</t>
        </is>
      </c>
      <c r="C160" s="13" t="inlineStr">
        <is>
          <t>Done</t>
        </is>
      </c>
      <c r="D160"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60" s="14" t="inlineStr">
        <is>
          <t>Phase 6 — BrewSoul (28 routes)</t>
        </is>
      </c>
    </row>
    <row r="161">
      <c r="A161" s="4" t="n"/>
      <c r="B161" s="4" t="inlineStr">
        <is>
          <t>/brewsoul/home</t>
        </is>
      </c>
      <c r="C161" s="13" t="inlineStr">
        <is>
          <t>Done</t>
        </is>
      </c>
      <c r="D161"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61" s="14" t="inlineStr">
        <is>
          <t>Phase 6 — BrewSoul (28 routes)</t>
        </is>
      </c>
    </row>
    <row r="162">
      <c r="A162" s="4" t="n"/>
      <c r="B162" s="4" t="inlineStr">
        <is>
          <t>/brewsoul/browse</t>
        </is>
      </c>
      <c r="C162" s="13" t="inlineStr">
        <is>
          <t>Done</t>
        </is>
      </c>
      <c r="D162" s="4" t="inlineStr">
        <is>
          <t>coffee listing (components/brewsoul/browse-explorer.tsx), real filter/search over the full BREWSOUL_COFFEES catalog. Verified live: 200 OK.</t>
        </is>
      </c>
      <c r="E162" s="14" t="inlineStr">
        <is>
          <t>Phase 6 — BrewSoul (28 routes)</t>
        </is>
      </c>
    </row>
    <row r="163">
      <c r="A163" s="4" t="n"/>
      <c r="B163" s="4" t="inlineStr">
        <is>
          <t>/brewsoul/coffee/[id]</t>
        </is>
      </c>
      <c r="C163" s="13" t="inlineStr">
        <is>
          <t>Done</t>
        </is>
      </c>
      <c r="D163"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3" s="14" t="inlineStr">
        <is>
          <t>Phase 6 — BrewSoul (28 routes)</t>
        </is>
      </c>
    </row>
    <row r="164">
      <c r="A164" s="4" t="n"/>
      <c r="B164" s="4" t="inlineStr">
        <is>
          <t>/brewsoul/quiz</t>
        </is>
      </c>
      <c r="C164" s="13" t="inlineStr">
        <is>
          <t>Done</t>
        </is>
      </c>
      <c r="D164"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4" s="14" t="inlineStr">
        <is>
          <t>Phase 6 — BrewSoul (28 routes)</t>
        </is>
      </c>
    </row>
    <row r="165">
      <c r="A165" s="4" t="n"/>
      <c r="B165" s="4" t="inlineStr">
        <is>
          <t>/brewsoul/wall-of-shame</t>
        </is>
      </c>
      <c r="C165" s="13" t="inlineStr">
        <is>
          <t>Done</t>
        </is>
      </c>
      <c r="D165"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5" s="14" t="inlineStr">
        <is>
          <t>Phase 6 — BrewSoul (28 routes)</t>
        </is>
      </c>
    </row>
    <row r="166">
      <c r="A166" s="4" t="n"/>
      <c r="B166" s="4" t="inlineStr">
        <is>
          <t>/brewsoul/follow-the-dollar</t>
        </is>
      </c>
      <c r="C166" s="13" t="inlineStr">
        <is>
          <t>Done</t>
        </is>
      </c>
      <c r="D166"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6" s="14" t="inlineStr">
        <is>
          <t>Phase 6 — BrewSoul (28 routes)</t>
        </is>
      </c>
    </row>
    <row r="167">
      <c r="A167" s="4" t="n"/>
      <c r="B167" s="4" t="inlineStr">
        <is>
          <t>/brewsoul/farms</t>
        </is>
      </c>
      <c r="C167" s="13" t="inlineStr">
        <is>
          <t>Done</t>
        </is>
      </c>
      <c r="D167" s="4" t="inlineStr">
        <is>
          <t>sourcing content ("Farm Passports"). Real FARMS entries (country/region/producer/altitude/story/varieties/certifications), unchanged. Fully static. Verified live: 200 OK.</t>
        </is>
      </c>
      <c r="E167" s="14" t="inlineStr">
        <is>
          <t>Phase 6 — BrewSoul (28 routes)</t>
        </is>
      </c>
    </row>
    <row r="168">
      <c r="A168" s="4" t="n"/>
      <c r="B168" s="4" t="inlineStr">
        <is>
          <t>/brewsoul/mold-free</t>
        </is>
      </c>
      <c r="C168" s="13" t="inlineStr">
        <is>
          <t>Done</t>
        </is>
      </c>
      <c r="D168" s="4" t="inlineStr">
        <is>
          <t>mycotoxin content. Real verified/claims/untested split computed live over the full BREWSOUL_COFFEES catalog by moldTestStatus. Fully static. Verified live: 200 OK.</t>
        </is>
      </c>
      <c r="E168" s="14" t="inlineStr">
        <is>
          <t>Phase 6 — BrewSoul (28 routes)</t>
        </is>
      </c>
    </row>
    <row r="169">
      <c r="A169" s="4" t="n"/>
      <c r="B169" s="4" t="inlineStr">
        <is>
          <t>/brewsoul/experiences</t>
        </is>
      </c>
      <c r="C169" s="13" t="inlineStr">
        <is>
          <t>Done</t>
        </is>
      </c>
      <c r="D169"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9" s="14" t="inlineStr">
        <is>
          <t>Phase 6 — BrewSoul (28 routes)</t>
        </is>
      </c>
    </row>
    <row r="170">
      <c r="A170" s="4" t="n"/>
      <c r="B170" s="4" t="inlineStr">
        <is>
          <t>/brewsoul/health</t>
        </is>
      </c>
      <c r="C170" s="13" t="inlineStr">
        <is>
          <t>Done</t>
        </is>
      </c>
      <c r="D170"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70" s="14" t="inlineStr">
        <is>
          <t>Phase 6 — BrewSoul (28 routes)</t>
        </is>
      </c>
    </row>
    <row r="171">
      <c r="A171" s="4" t="n"/>
      <c r="B171" s="4" t="inlineStr">
        <is>
          <t>/brewsoul/varieties</t>
        </is>
      </c>
      <c r="C171" s="13" t="inlineStr">
        <is>
          <t>Done</t>
        </is>
      </c>
      <c r="D171" s="4" t="inlineStr">
        <is>
          <t>reference: varieties. Real VARIETIES encyclopedia entries (species/origin/genetics/cup profile/yield/disease resistance), unchanged. Search extracted into components/brewsoul/varieties-explorer.tsx. Verified live: 200 OK.</t>
        </is>
      </c>
      <c r="E171" s="14" t="inlineStr">
        <is>
          <t>Phase 6 — BrewSoul (28 routes)</t>
        </is>
      </c>
    </row>
    <row r="172">
      <c r="A172" s="4" t="n"/>
      <c r="B172" s="4" t="inlineStr">
        <is>
          <t>/brewsoul/processing</t>
        </is>
      </c>
      <c r="C172" s="13" t="inlineStr">
        <is>
          <t>Done</t>
        </is>
      </c>
      <c r="D172" s="4" t="inlineStr">
        <is>
          <t>reference: processing. Real PROCESSING_METHODS entries (description/flavor impact/complexity/controversy), unchanged. Fully static. Verified live: 200 OK.</t>
        </is>
      </c>
      <c r="E172" s="14" t="inlineStr">
        <is>
          <t>Phase 6 — BrewSoul (28 routes)</t>
        </is>
      </c>
    </row>
    <row r="173">
      <c r="A173" s="4" t="n"/>
      <c r="B173" s="4" t="inlineStr">
        <is>
          <t>/brewsoul/roasters</t>
        </is>
      </c>
      <c r="C173" s="13" t="inlineStr">
        <is>
          <t>Done</t>
        </is>
      </c>
      <c r="D173" s="4" t="inlineStr">
        <is>
          <t>reference: roaster directory. Real ROASTERS entries (philosophy/quality/transparency/farmer-equity scores), unchanged. Search + tier filter extracted into components/brewsoul/roasters-explorer.tsx. Verified live: 200 OK.</t>
        </is>
      </c>
      <c r="E173" s="14" t="inlineStr">
        <is>
          <t>Phase 6 — BrewSoul (28 routes)</t>
        </is>
      </c>
    </row>
    <row r="174">
      <c r="A174" s="4" t="n"/>
      <c r="B174" s="4" t="inlineStr">
        <is>
          <t>/brewsoul/glossary</t>
        </is>
      </c>
      <c r="C174" s="13" t="inlineStr">
        <is>
          <t>Done</t>
        </is>
      </c>
      <c r="D174" s="4" t="inlineStr">
        <is>
          <t>reference: glossary. Real GLOSSARY terms, unchanged. Search + alphabetical grouping extracted into components/brewsoul/glossary-explorer.tsx. Verified live: 200 OK.</t>
        </is>
      </c>
      <c r="E174" s="14" t="inlineStr">
        <is>
          <t>Phase 6 — BrewSoul (28 routes)</t>
        </is>
      </c>
    </row>
    <row r="175">
      <c r="A175" s="4" t="n"/>
      <c r="B175" s="4" t="inlineStr">
        <is>
          <t>/brewsoul/pairings</t>
        </is>
      </c>
      <c r="C175" s="13" t="inlineStr">
        <is>
          <t>Done</t>
        </is>
      </c>
      <c r="D175" s="4" t="inlineStr">
        <is>
          <t>reference: pairings. Real PAIRINGS (food/drink pairings by origin) and 3 real curated FLIGHTS (each linking to real coffees in the catalog), unchanged. Fully static. Verified live: 200 OK.</t>
        </is>
      </c>
      <c r="E175" s="14" t="inlineStr">
        <is>
          <t>Phase 6 — BrewSoul (28 routes)</t>
        </is>
      </c>
    </row>
    <row r="176">
      <c r="A176" s="4" t="n"/>
      <c r="B176" s="4" t="inlineStr">
        <is>
          <t>/brewsoul/economics</t>
        </is>
      </c>
      <c r="C176" s="13" t="inlineStr">
        <is>
          <t>Done</t>
        </is>
      </c>
      <c r="D176"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6" s="14" t="inlineStr">
        <is>
          <t>Phase 6 — BrewSoul (28 routes)</t>
        </is>
      </c>
    </row>
    <row r="177">
      <c r="A177" s="4" t="n"/>
      <c r="B177" s="4" t="inlineStr">
        <is>
          <t>/brewsoul/compare</t>
        </is>
      </c>
      <c r="C177" s="13" t="inlineStr">
        <is>
          <t>Done</t>
        </is>
      </c>
      <c r="D177"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7" s="14" t="inlineStr">
        <is>
          <t>Phase 6 — BrewSoul (28 routes)</t>
        </is>
      </c>
    </row>
    <row r="178">
      <c r="A178" s="4" t="n"/>
      <c r="B178" s="4" t="inlineStr">
        <is>
          <t>/brewsoul/blend-builder</t>
        </is>
      </c>
      <c r="C178" s="13" t="inlineStr">
        <is>
          <t>Done</t>
        </is>
      </c>
      <c r="D178"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8" s="14" t="inlineStr">
        <is>
          <t>Phase 6 — BrewSoul (28 routes)</t>
        </is>
      </c>
    </row>
    <row r="179">
      <c r="A179" s="4" t="n"/>
      <c r="B179" s="4" t="inlineStr">
        <is>
          <t>/brewsoul/drops</t>
        </is>
      </c>
      <c r="C179" s="13" t="inlineStr">
        <is>
          <t>Done</t>
        </is>
      </c>
      <c r="D179" s="4" t="inlineStr">
        <is>
          <t>tool: product drops ("Latest Drops"). Real top-12-by-overall-score coffees. No client-side state at all (legacy's own useMemo had no changing dependencies — a pure derived list), so this ships as a plain Server Component. Verified live: 200 OK.</t>
        </is>
      </c>
      <c r="E179" s="14" t="inlineStr">
        <is>
          <t>Phase 6 — BrewSoul (28 routes)</t>
        </is>
      </c>
    </row>
    <row r="180">
      <c r="A180" s="4" t="n"/>
      <c r="B180" s="4" t="inlineStr">
        <is>
          <t>/brewsoul/collection</t>
        </is>
      </c>
      <c r="C180" s="13" t="inlineStr">
        <is>
          <t>Done</t>
        </is>
      </c>
      <c r="D180"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80" s="14" t="inlineStr">
        <is>
          <t>Phase 6 — BrewSoul (28 routes)</t>
        </is>
      </c>
    </row>
    <row r="181">
      <c r="A181" s="4" t="n"/>
      <c r="B181" s="4" t="inlineStr">
        <is>
          <t>/brewsoul/submit</t>
        </is>
      </c>
      <c r="C181" s="13" t="inlineStr">
        <is>
          <t>Done</t>
        </is>
      </c>
      <c r="D181"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81" s="14" t="inlineStr">
        <is>
          <t>Phase 6 — BrewSoul (28 routes)</t>
        </is>
      </c>
    </row>
    <row r="182">
      <c r="A182" s="4" t="n"/>
      <c r="B182" s="4" t="inlineStr">
        <is>
          <t>/brewsoul/prescription</t>
        </is>
      </c>
      <c r="C182" s="13" t="inlineStr">
        <is>
          <t>Done</t>
        </is>
      </c>
      <c r="D182"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2" s="14" t="inlineStr">
        <is>
          <t>Phase 6 — BrewSoul (28 routes)</t>
        </is>
      </c>
    </row>
    <row r="183">
      <c r="A183" s="4" t="n"/>
      <c r="B183" s="4" t="inlineStr">
        <is>
          <t>/brewsoul/chains</t>
        </is>
      </c>
      <c r="C183" s="13" t="inlineStr">
        <is>
          <t>Done</t>
        </is>
      </c>
      <c r="D183"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3" s="14" t="inlineStr">
        <is>
          <t>Phase 6 — BrewSoul (28 routes)</t>
        </is>
      </c>
    </row>
    <row r="184">
      <c r="A184" s="4" t="n"/>
      <c r="B184" s="4" t="inlineStr">
        <is>
          <t>/brewsoul/biodynamic</t>
        </is>
      </c>
      <c r="C184" s="13" t="inlineStr">
        <is>
          <t>Done</t>
        </is>
      </c>
      <c r="D184"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4" s="14" t="inlineStr">
        <is>
          <t>Phase 6 — BrewSoul (28 routes)</t>
        </is>
      </c>
    </row>
    <row r="185">
      <c r="A185" s="4" t="n"/>
      <c r="B185" s="4" t="inlineStr">
        <is>
          <t>/brewsoul/decaf</t>
        </is>
      </c>
      <c r="C185" s="13" t="inlineStr">
        <is>
          <t>Done</t>
        </is>
      </c>
      <c r="D185"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5" s="14" t="inlineStr">
        <is>
          <t>Phase 6 — BrewSoul (28 routes)</t>
        </is>
      </c>
    </row>
    <row r="186">
      <c r="A186" s="4" t="n"/>
      <c r="B186" s="4" t="inlineStr">
        <is>
          <t>/brewsoul/esoteric</t>
        </is>
      </c>
      <c r="C186" s="13" t="inlineStr">
        <is>
          <t>Done</t>
        </is>
      </c>
      <c r="D186"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6" s="14" t="inlineStr">
        <is>
          <t>Phase 6 — BrewSoul (28 routes)</t>
        </is>
      </c>
    </row>
    <row r="187">
      <c r="A187" s="4" t="n"/>
      <c r="B187" s="4" t="inlineStr">
        <is>
          <t>/brewsoul/cities + /brewsoul/cities/[slug]</t>
        </is>
      </c>
      <c r="C187" s="13" t="inlineStr">
        <is>
          <t>Done</t>
        </is>
      </c>
      <c r="D187"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7" s="14" t="inlineStr">
        <is>
          <t>Phase 6 — BrewSoul (28 routes)</t>
        </is>
      </c>
    </row>
    <row r="188">
      <c r="A188" s="4" t="n"/>
      <c r="B188" s="4" t="inlineStr">
        <is>
          <t>/brewsoul/directory</t>
        </is>
      </c>
      <c r="C188" s="13" t="inlineStr">
        <is>
          <t>Done</t>
        </is>
      </c>
      <c r="D188"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8" s="14" t="inlineStr">
        <is>
          <t>Phase 6 — BrewSoul (28 routes)</t>
        </is>
      </c>
    </row>
    <row r="189">
      <c r="A189" s="4" t="n"/>
      <c r="B189" s="4" t="inlineStr">
        <is>
          <t>/brewsoul/guest + /brewsoul/guest/shanita-nicholas</t>
        </is>
      </c>
      <c r="C189" s="13" t="inlineStr">
        <is>
          <t>Done</t>
        </is>
      </c>
      <c r="D189"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9" s="14" t="inlineStr">
        <is>
          <t>Phase 6 — BrewSoul (28 routes)</t>
        </is>
      </c>
    </row>
    <row r="190">
      <c r="A190" s="4" t="n"/>
      <c r="B190" s="4" t="inlineStr">
        <is>
          <t>Shared: port BrewSoulLayout, CategoryBadge, JourneyBar, NextSteps as Next.js layout/components</t>
        </is>
      </c>
      <c r="C190" s="13" t="inlineStr">
        <is>
          <t>Done</t>
        </is>
      </c>
      <c r="D190" s="4" t="inlineStr">
        <is>
          <t>app/brewsoul/layout.tsx + components/brewsoul/{brewsoul-nav,category-badge,journey-bar,next-steps}.tsx, all built and reused by every /brewsoul/* route above.</t>
        </is>
      </c>
      <c r="E190" s="14" t="inlineStr">
        <is>
          <t>Phase 6 — BrewSoul (28 routes)</t>
        </is>
      </c>
    </row>
    <row r="191">
      <c r="A191" s="10" t="inlineStr">
        <is>
          <t>Phase 7 — PRI &amp; Kava Encyclopedias (19 routes)</t>
        </is>
      </c>
      <c r="B191" s="11" t="n"/>
      <c r="C191" s="11" t="n"/>
      <c r="D191" s="12" t="n"/>
    </row>
    <row r="192">
      <c r="A192" s="4" t="n"/>
      <c r="B192" s="4" t="inlineStr">
        <is>
          <t>Kava shared foundation</t>
        </is>
      </c>
      <c r="C192" s="13" t="inlineStr">
        <is>
          <t>Done</t>
        </is>
      </c>
      <c r="D192"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2" s="14" t="inlineStr">
        <is>
          <t>Phase 7 — PRI &amp; Kava Encyclopedias (19 routes)</t>
        </is>
      </c>
    </row>
    <row r="193">
      <c r="A193" s="4" t="n"/>
      <c r="B193" s="4" t="inlineStr">
        <is>
          <t>/kava (home)</t>
        </is>
      </c>
      <c r="C193" s="13" t="inlineStr">
        <is>
          <t>Done</t>
        </is>
      </c>
      <c r="D193" s="4" t="inlineStr">
        <is>
          <t>9 module cards, "Threshold Doctrine," "Sacred Masculine Triad" (Mezcal/Kava/Peyote), 4 market stats, all ported unchanged. Verified live: 200 OK, exactly 1 header/1 footer (chrome suppression confirmed), typecheck/lint clean.</t>
        </is>
      </c>
      <c r="E193" s="14" t="inlineStr">
        <is>
          <t>Phase 7 — PRI &amp; Kava Encyclopedias (19 routes)</t>
        </is>
      </c>
    </row>
    <row r="194">
      <c r="A194" s="4" t="n"/>
      <c r="B194" s="4" t="inlineStr">
        <is>
          <t>/kava/origins</t>
        </is>
      </c>
      <c r="C194" s="13" t="inlineStr">
        <is>
          <t>Done</t>
        </is>
      </c>
      <c r="D194"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4" s="14" t="inlineStr">
        <is>
          <t>Phase 7 — PRI &amp; Kava Encyclopedias (19 routes)</t>
        </is>
      </c>
    </row>
    <row r="195">
      <c r="A195" s="4" t="n"/>
      <c r="B195" s="4" t="inlineStr">
        <is>
          <t>/kava/interactions</t>
        </is>
      </c>
      <c r="C195" s="13" t="inlineStr">
        <is>
          <t>Done</t>
        </is>
      </c>
      <c r="D195"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5" s="14" t="inlineStr">
        <is>
          <t>Phase 7 — PRI &amp; Kava Encyclopedias (19 routes)</t>
        </is>
      </c>
    </row>
    <row r="196">
      <c r="A196" s="4" t="n"/>
      <c r="B196" s="4" t="inlineStr">
        <is>
          <t>/kava/science</t>
        </is>
      </c>
      <c r="C196" s="13" t="inlineStr">
        <is>
          <t>Done</t>
        </is>
      </c>
      <c r="D196"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6" s="14" t="inlineStr">
        <is>
          <t>Phase 7 — PRI &amp; Kava Encyclopedias (19 routes)</t>
        </is>
      </c>
    </row>
    <row r="197">
      <c r="A197" s="4" t="n"/>
      <c r="B197" s="4" t="inlineStr">
        <is>
          <t>/kava/assessment</t>
        </is>
      </c>
      <c r="C197" s="13" t="inlineStr">
        <is>
          <t>Done</t>
        </is>
      </c>
      <c r="D197"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7" s="14" t="inlineStr">
        <is>
          <t>Phase 7 — PRI &amp; Kava Encyclopedias (19 routes)</t>
        </is>
      </c>
    </row>
    <row r="198">
      <c r="A198" s="4" t="n"/>
      <c r="B198" s="4" t="inlineStr">
        <is>
          <t>/kava/hawaii</t>
        </is>
      </c>
      <c r="C198" s="13" t="inlineStr">
        <is>
          <t>Done</t>
        </is>
      </c>
      <c r="D198"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8" s="14" t="inlineStr">
        <is>
          <t>Phase 7 — PRI &amp; Kava Encyclopedias (19 routes)</t>
        </is>
      </c>
    </row>
    <row r="199">
      <c r="A199" s="4" t="n"/>
      <c r="B199" s="4" t="inlineStr">
        <is>
          <t>/kava/myths</t>
        </is>
      </c>
      <c r="C199" s="13" t="inlineStr">
        <is>
          <t>Done</t>
        </is>
      </c>
      <c r="D199"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9" s="14" t="inlineStr">
        <is>
          <t>Phase 7 — PRI &amp; Kava Encyclopedias (19 routes)</t>
        </is>
      </c>
    </row>
    <row r="200">
      <c r="A200" s="4" t="n"/>
      <c r="B200" s="4" t="inlineStr">
        <is>
          <t>/kava/caffeine</t>
        </is>
      </c>
      <c r="C200" s="13" t="inlineStr">
        <is>
          <t>Done</t>
        </is>
      </c>
      <c r="D200"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200" s="14" t="inlineStr">
        <is>
          <t>Phase 7 — PRI &amp; Kava Encyclopedias (19 routes)</t>
        </is>
      </c>
    </row>
    <row r="201">
      <c r="A201" s="4" t="n"/>
      <c r="B201" s="4" t="inlineStr">
        <is>
          <t>/kava/products</t>
        </is>
      </c>
      <c r="C201" s="13" t="inlineStr">
        <is>
          <t>Done</t>
        </is>
      </c>
      <c r="D201"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201" s="14" t="inlineStr">
        <is>
          <t>Phase 7 — PRI &amp; Kava Encyclopedias (19 routes)</t>
        </is>
      </c>
    </row>
    <row r="202">
      <c r="A202" s="4" t="n"/>
      <c r="B202" s="4" t="inlineStr">
        <is>
          <t>/kava/certification</t>
        </is>
      </c>
      <c r="C202" s="13" t="inlineStr">
        <is>
          <t>Done</t>
        </is>
      </c>
      <c r="D202"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2" s="14" t="inlineStr">
        <is>
          <t>Phase 7 — PRI &amp; Kava Encyclopedias (19 routes)</t>
        </is>
      </c>
    </row>
    <row r="203">
      <c r="A203" s="4" t="n"/>
      <c r="B203" s="4" t="inlineStr">
        <is>
          <t>PRI shared data: lib/content/pri-data.ts (copied verbatim from legacy pri/data.ts</t>
        </is>
      </c>
      <c r="C203" s="13" t="inlineStr">
        <is>
          <t>Done</t>
        </is>
      </c>
      <c r="D203"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3" s="14" t="inlineStr">
        <is>
          <t>Phase 7 — PRI &amp; Kava Encyclopedias (19 routes)</t>
        </is>
      </c>
    </row>
    <row r="204">
      <c r="A204" s="4" t="n"/>
      <c r="B204" s="4" t="inlineStr">
        <is>
          <t>/psychedelic-readiness-index (core tool)</t>
        </is>
      </c>
      <c r="C204" s="13" t="inlineStr">
        <is>
          <t>Done</t>
        </is>
      </c>
      <c r="D204"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4" s="14" t="inlineStr">
        <is>
          <t>Phase 7 — PRI &amp; Kava Encyclopedias (19 routes)</t>
        </is>
      </c>
    </row>
    <row r="205">
      <c r="A205" s="4" t="n"/>
      <c r="B205" s="4" t="inlineStr">
        <is>
          <t>PRI: /peyote-mescaline</t>
        </is>
      </c>
      <c r="C205" s="13" t="inlineStr">
        <is>
          <t>Done</t>
        </is>
      </c>
      <c r="D205"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5" s="14" t="inlineStr">
        <is>
          <t>Phase 7 — PRI &amp; Kava Encyclopedias (19 routes)</t>
        </is>
      </c>
    </row>
    <row r="206">
      <c r="A206" s="4" t="n"/>
      <c r="B206" s="4" t="inlineStr">
        <is>
          <t>PRI: /iboga-ibogaine</t>
        </is>
      </c>
      <c r="C206" s="13" t="inlineStr">
        <is>
          <t>Done</t>
        </is>
      </c>
      <c r="D206"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6" s="14" t="inlineStr">
        <is>
          <t>Phase 7 — PRI &amp; Kava Encyclopedias (19 routes)</t>
        </is>
      </c>
    </row>
    <row r="207">
      <c r="A207" s="4" t="n"/>
      <c r="B207" s="4" t="inlineStr">
        <is>
          <t>PRI: /iboga-compass</t>
        </is>
      </c>
      <c r="C207" s="13" t="inlineStr">
        <is>
          <t>Done</t>
        </is>
      </c>
      <c r="D207"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7" s="14" t="inlineStr">
        <is>
          <t>Phase 7 — PRI &amp; Kava Encyclopedias (19 routes)</t>
        </is>
      </c>
    </row>
    <row r="208">
      <c r="A208" s="4" t="n"/>
      <c r="B208" s="4" t="inlineStr">
        <is>
          <t>PRI: /pri-calibration</t>
        </is>
      </c>
      <c r="C208" s="13" t="inlineStr">
        <is>
          <t>Done</t>
        </is>
      </c>
      <c r="D208"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8" s="14" t="inlineStr">
        <is>
          <t>Phase 7 — PRI &amp; Kava Encyclopedias (19 routes)</t>
        </is>
      </c>
    </row>
    <row r="209">
      <c r="A209" s="4" t="n"/>
      <c r="B209" s="4" t="inlineStr">
        <is>
          <t>PRI: /pri-efficacy</t>
        </is>
      </c>
      <c r="C209" s="13" t="inlineStr">
        <is>
          <t>Done</t>
        </is>
      </c>
      <c r="D209"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9" s="14" t="inlineStr">
        <is>
          <t>Phase 7 — PRI &amp; Kava Encyclopedias (19 routes)</t>
        </is>
      </c>
    </row>
    <row r="210">
      <c r="A210" s="4" t="n"/>
      <c r="B210" s="4" t="inlineStr">
        <is>
          <t>PRI: /pri-research Built 2026-10-06 behind the login: admins are the emails in ADMIN_EMAILS; everyone else gets live's "Access Denied"</t>
        </is>
      </c>
      <c r="C210" s="13" t="inlineStr">
        <is>
          <t>Done</t>
        </is>
      </c>
      <c r="D210"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10" s="14" t="inlineStr">
        <is>
          <t>Phase 7 — PRI &amp; Kava Encyclopedias (19 routes)</t>
        </is>
      </c>
    </row>
    <row r="211">
      <c r="A211" s="4" t="n"/>
      <c r="B211" s="4" t="inlineStr">
        <is>
          <t>PRI: /facilitator-index</t>
        </is>
      </c>
      <c r="C211" s="13" t="inlineStr">
        <is>
          <t>Done</t>
        </is>
      </c>
      <c r="D211"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11" s="14" t="inlineStr">
        <is>
          <t>Phase 7 — PRI &amp; Kava Encyclopedias (19 routes)</t>
        </is>
      </c>
    </row>
    <row r="212">
      <c r="A212" s="4" t="n"/>
      <c r="B212" s="4" t="inlineStr">
        <is>
          <t>Port shared safety/medicine data modules (safety-data.ts, medicine-images.ts) as typed .ts content in the new codebase</t>
        </is>
      </c>
      <c r="C212" s="13" t="inlineStr">
        <is>
          <t>Done</t>
        </is>
      </c>
      <c r="D212" s="4" t="inlineStr">
        <is>
          <t>done as part of the main PRI page above (lib/content/pri-safety-data.ts, lib/content/pri-medicine-images.ts, both copied verbatim).</t>
        </is>
      </c>
      <c r="E212" s="14" t="inlineStr">
        <is>
          <t>Phase 7 — PRI &amp; Kava Encyclopedias (19 routes)</t>
        </is>
      </c>
    </row>
    <row r="213">
      <c r="A213" s="10" t="inlineStr">
        <is>
          <t>Phase 8 — Attention Theft Manifesto (7 routes)</t>
        </is>
      </c>
      <c r="B213" s="11" t="n"/>
      <c r="C213" s="11" t="n"/>
      <c r="D213" s="12" t="n"/>
    </row>
    <row r="214">
      <c r="A214" s="4" t="n"/>
      <c r="B214" s="4" t="inlineStr">
        <is>
          <t>/attention-theft</t>
        </is>
      </c>
      <c r="C214" s="13" t="inlineStr">
        <is>
          <t>Done</t>
        </is>
      </c>
      <c r="D214"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4" s="14" t="inlineStr">
        <is>
          <t>Phase 8 — Attention Theft Manifesto (7 routes)</t>
        </is>
      </c>
    </row>
    <row r="215">
      <c r="A215" s="4" t="n"/>
      <c r="B215" s="4" t="inlineStr">
        <is>
          <t>Legacy anchor redirects</t>
        </is>
      </c>
      <c r="C215" s="13" t="inlineStr">
        <is>
          <t>Done</t>
        </is>
      </c>
      <c r="D215" s="4" t="inlineStr">
        <is>
          <t>/attention-theft/economics, /blocker-finder, /legal, /weapons, /report → /attention-theft#&lt;anchor&gt; via next.config.ts redirects(). Verified live: all return real 308s to the correct anchor.</t>
        </is>
      </c>
      <c r="E215" s="14" t="inlineStr">
        <is>
          <t>Phase 8 — Attention Theft Manifesto (7 routes)</t>
        </is>
      </c>
    </row>
    <row r="216">
      <c r="A216" s="4" t="n"/>
      <c r="B216" s="4" t="inlineStr">
        <is>
          <t>Port ManifestoLayout scroll-tracking wrapper behavior</t>
        </is>
      </c>
      <c r="C216" s="13" t="inlineStr">
        <is>
          <t>Done</t>
        </is>
      </c>
      <c r="D216" s="4" t="inlineStr">
        <is>
          <t>components/manifesto/manifesto-nav.tsx tracks which section is in view on scroll and highlights the matching nav pill (desktop + mobile), real behavior kept per this line item rather than simplified away.</t>
        </is>
      </c>
      <c r="E216" s="14" t="inlineStr">
        <is>
          <t>Phase 8 — Attention Theft Manifesto (7 routes)</t>
        </is>
      </c>
    </row>
    <row r="217">
      <c r="A217" s="10" t="inlineStr">
        <is>
          <t>Phase 9 — Assessments (33 routes)</t>
        </is>
      </c>
      <c r="B217" s="11" t="n"/>
      <c r="C217" s="11" t="n"/>
      <c r="D217" s="12" t="n"/>
    </row>
    <row r="218">
      <c r="A218" s="4" t="n"/>
      <c r="B218" s="4" t="inlineStr">
        <is>
          <t>HumanOS section</t>
        </is>
      </c>
      <c r="C218" s="13" t="inlineStr">
        <is>
          <t>Done</t>
        </is>
      </c>
      <c r="D218"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8" s="14" t="inlineStr">
        <is>
          <t>Phase 9 — Assessments (33 routes)</t>
        </is>
      </c>
    </row>
    <row r="219">
      <c r="A219" s="4" t="n"/>
      <c r="B219" s="4" t="inlineStr">
        <is>
          <t>/find-your-me (+ /find-my-me, /discover)</t>
        </is>
      </c>
      <c r="C219" s="13" t="inlineStr">
        <is>
          <t>Done</t>
        </is>
      </c>
      <c r="D219"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9" s="14" t="inlineStr">
        <is>
          <t>Phase 9 — Assessments (33 routes)</t>
        </is>
      </c>
    </row>
    <row r="220">
      <c r="A220" s="4" t="n"/>
      <c r="B220" s="4" t="inlineStr">
        <is>
          <t>/find-your-therapy (+ /find-my-therapy)</t>
        </is>
      </c>
      <c r="C220" s="13" t="inlineStr">
        <is>
          <t>Done</t>
        </is>
      </c>
      <c r="D220"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20" s="14" t="inlineStr">
        <is>
          <t>Phase 9 — Assessments (33 routes)</t>
        </is>
      </c>
    </row>
    <row r="221">
      <c r="A221" s="4" t="n"/>
      <c r="B221" s="4" t="inlineStr">
        <is>
          <t>/find-your-sake</t>
        </is>
      </c>
      <c r="C221" s="13" t="inlineStr">
        <is>
          <t>Done</t>
        </is>
      </c>
      <c r="D221"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21" s="14" t="inlineStr">
        <is>
          <t>Phase 9 — Assessments (33 routes)</t>
        </is>
      </c>
    </row>
    <row r="222">
      <c r="A222" s="4" t="n"/>
      <c r="B222" s="4" t="inlineStr">
        <is>
          <t>/find-your-spirit (+ /find-my-spirit), along with a shared PDF-export component the rest of Phase 9 can reuse</t>
        </is>
      </c>
      <c r="C222" s="13" t="inlineStr">
        <is>
          <t>Done</t>
        </is>
      </c>
      <c r="D222"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2" s="14" t="inlineStr">
        <is>
          <t>Phase 9 — Assessments (33 routes)</t>
        </is>
      </c>
    </row>
    <row r="223">
      <c r="A223" s="4" t="n"/>
      <c r="B223" s="4" t="inlineStr">
        <is>
          <t>/find-your-religion</t>
        </is>
      </c>
      <c r="C223" s="13" t="inlineStr">
        <is>
          <t>Done</t>
        </is>
      </c>
      <c r="D223"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3" s="14" t="inlineStr">
        <is>
          <t>Phase 9 — Assessments (33 routes)</t>
        </is>
      </c>
    </row>
    <row r="224">
      <c r="A224" s="4" t="n"/>
      <c r="B224" s="4" t="inlineStr">
        <is>
          <t>/find-your-diet (+ /find-my-diet)</t>
        </is>
      </c>
      <c r="C224" s="13" t="inlineStr">
        <is>
          <t>Done</t>
        </is>
      </c>
      <c r="D224"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4" s="14" t="inlineStr">
        <is>
          <t>Phase 9 — Assessments (33 routes)</t>
        </is>
      </c>
    </row>
    <row r="225">
      <c r="A225" s="4" t="n"/>
      <c r="B225" s="4" t="inlineStr">
        <is>
          <t>/find-your-movement (+ /find-my-movement), along with the shared assessment foundation the rest of Phase 9 depends on</t>
        </is>
      </c>
      <c r="C225" s="13" t="inlineStr">
        <is>
          <t>Done</t>
        </is>
      </c>
      <c r="D225"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5" s="14" t="inlineStr">
        <is>
          <t>Phase 9 — Assessments (33 routes)</t>
        </is>
      </c>
    </row>
    <row r="226">
      <c r="A226" s="4" t="n"/>
      <c r="B226" s="4" t="inlineStr">
        <is>
          <t>/find-your-sleep (+ /find-my-sleep)</t>
        </is>
      </c>
      <c r="C226" s="13" t="inlineStr">
        <is>
          <t>Done</t>
        </is>
      </c>
      <c r="D226"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6" s="14" t="inlineStr">
        <is>
          <t>Phase 9 — Assessments (33 routes)</t>
        </is>
      </c>
    </row>
    <row r="227">
      <c r="A227" s="4" t="n"/>
      <c r="B227" s="4" t="inlineStr">
        <is>
          <t>/find-your-coffee (+ /find-my-coffee)</t>
        </is>
      </c>
      <c r="C227" s="13" t="inlineStr">
        <is>
          <t>Done</t>
        </is>
      </c>
      <c r="D227"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7" s="14" t="inlineStr">
        <is>
          <t>Phase 9 — Assessments (33 routes)</t>
        </is>
      </c>
    </row>
    <row r="228">
      <c r="A228" s="4" t="n"/>
      <c r="B228" s="4" t="inlineStr">
        <is>
          <t>/find-your-kitchen. Real 15 questions (all rendered on one page at once</t>
        </is>
      </c>
      <c r="C228" s="13" t="inlineStr">
        <is>
          <t>Done</t>
        </is>
      </c>
      <c r="D228"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8" s="14" t="inlineStr">
        <is>
          <t>Phase 9 — Assessments (33 routes)</t>
        </is>
      </c>
    </row>
    <row r="229">
      <c r="A229" s="4" t="n"/>
      <c r="B229" s="4" t="inlineStr">
        <is>
          <t>/find-your-style. Real 15 questions, 6 real archetypes, and the real (if crude</t>
        </is>
      </c>
      <c r="C229" s="13" t="inlineStr">
        <is>
          <t>Done</t>
        </is>
      </c>
      <c r="D229"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9" s="14" t="inlineStr">
        <is>
          <t>Phase 9 — Assessments (33 routes)</t>
        </is>
      </c>
    </row>
    <row r="230">
      <c r="A230" s="4" t="n"/>
      <c r="B230" s="4" t="inlineStr">
        <is>
          <t>/find-your-attachment-style (+ /find-my-attachment-style, /find-my-we)</t>
        </is>
      </c>
      <c r="C230" s="13" t="inlineStr">
        <is>
          <t>Done</t>
        </is>
      </c>
      <c r="D230"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30" s="14" t="inlineStr">
        <is>
          <t>Phase 9 — Assessments (33 routes)</t>
        </is>
      </c>
    </row>
    <row r="231">
      <c r="A231" s="4" t="n"/>
      <c r="B231" s="4" t="inlineStr">
        <is>
          <t>/find-your-love-language</t>
        </is>
      </c>
      <c r="C231" s="13" t="inlineStr">
        <is>
          <t>Done</t>
        </is>
      </c>
      <c r="D231" s="4" t="inlineStr">
        <is>
          <t>Real 15 questions (incl. the negative-score "disconnect" question), 5 real archetypes with descriptions/tips, and Dr. Gary Chapman's real attribution note all ported unchanged. Verified live: 200 OK, full quiz flow, typecheck/lint clean.</t>
        </is>
      </c>
      <c r="E231" s="14" t="inlineStr">
        <is>
          <t>Phase 9 — Assessments (33 routes)</t>
        </is>
      </c>
    </row>
    <row r="232">
      <c r="A232" s="4" t="n"/>
      <c r="B232" s="4" t="inlineStr">
        <is>
          <t>/find-your-peptide (+ /find-my-peptide)</t>
        </is>
      </c>
      <c r="C232" s="13" t="inlineStr">
        <is>
          <t>Done</t>
        </is>
      </c>
      <c r="D232"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2" s="14" t="inlineStr">
        <is>
          <t>Phase 9 — Assessments (33 routes)</t>
        </is>
      </c>
    </row>
    <row r="233">
      <c r="A233" s="4" t="n"/>
      <c r="B233" s="4" t="inlineStr">
        <is>
          <t>/find-your-sexuality (+ /find-my-sexuality)</t>
        </is>
      </c>
      <c r="C233" s="13" t="inlineStr">
        <is>
          <t>Done</t>
        </is>
      </c>
      <c r="D233"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3" s="14" t="inlineStr">
        <is>
          <t>Phase 9 — Assessments (33 routes)</t>
        </is>
      </c>
    </row>
    <row r="234">
      <c r="A234" s="4" t="n"/>
      <c r="B234" s="4" t="inlineStr">
        <is>
          <t>/find-my</t>
        </is>
      </c>
      <c r="C234" s="13" t="inlineStr">
        <is>
          <t>Done</t>
        </is>
      </c>
      <c r="D234"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4" s="14" t="inlineStr">
        <is>
          <t>Phase 9 — Assessments (33 routes)</t>
        </is>
      </c>
    </row>
    <row r="235">
      <c r="A235" s="4" t="n"/>
      <c r="B235" s="4" t="inlineStr">
        <is>
          <t>/assessments</t>
        </is>
      </c>
      <c r="C235" s="13" t="inlineStr">
        <is>
          <t>Done</t>
        </is>
      </c>
      <c r="D235"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5" s="14" t="inlineStr">
        <is>
          <t>Phase 9 — Assessments (33 routes)</t>
        </is>
      </c>
    </row>
    <row r="236">
      <c r="A236" s="4" t="n"/>
      <c r="B236" s="4" t="inlineStr">
        <is>
          <t>/dharma-finder (+ /assessments/dharma-finder redirect). Structurally different from every other Phase 9 quiz</t>
        </is>
      </c>
      <c r="C236" s="13" t="inlineStr">
        <is>
          <t>Done</t>
        </is>
      </c>
      <c r="D236"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6" s="14" t="inlineStr">
        <is>
          <t>Phase 9 — Assessments (33 routes)</t>
        </is>
      </c>
    </row>
    <row r="237">
      <c r="A237" s="4" t="n"/>
      <c r="B237" s="4" t="inlineStr">
        <is>
          <t>/consciousness-scale (+ /assessments/consciousness-scale redirect)</t>
        </is>
      </c>
      <c r="C237" s="13" t="inlineStr">
        <is>
          <t>Done</t>
        </is>
      </c>
      <c r="D237"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7" s="14" t="inlineStr">
        <is>
          <t>Phase 9 — Assessments (33 routes)</t>
        </is>
      </c>
    </row>
    <row r="238">
      <c r="A238" s="4" t="n"/>
      <c r="B238" s="4" t="inlineStr">
        <is>
          <t>/grant-study (+ /assessments/grant-study redirect)</t>
        </is>
      </c>
      <c r="C238" s="13" t="inlineStr">
        <is>
          <t>Done</t>
        </is>
      </c>
      <c r="D238"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8" s="14" t="inlineStr">
        <is>
          <t>Phase 9 — Assessments (33 routes)</t>
        </is>
      </c>
    </row>
    <row r="239">
      <c r="A239" s="4" t="n"/>
      <c r="B239" s="4" t="inlineStr">
        <is>
          <t>/soulscore</t>
        </is>
      </c>
      <c r="C239" s="13" t="inlineStr">
        <is>
          <t>Done</t>
        </is>
      </c>
      <c r="D239"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9" s="14" t="inlineStr">
        <is>
          <t>Phase 9 — Assessments (33 routes)</t>
        </is>
      </c>
    </row>
    <row r="240">
      <c r="A240" s="4" t="n"/>
      <c r="B240" s="4" t="inlineStr">
        <is>
          <t>/self-portrait</t>
        </is>
      </c>
      <c r="C240" s="13" t="inlineStr">
        <is>
          <t>Done</t>
        </is>
      </c>
      <c r="D240"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40" s="14" t="inlineStr">
        <is>
          <t>Phase 9 — Assessments (33 routes)</t>
        </is>
      </c>
    </row>
    <row r="241">
      <c r="A241" s="4" t="n"/>
      <c r="B241" s="4" t="inlineStr">
        <is>
          <t>/the-mirror (+ /life-assessment)</t>
        </is>
      </c>
      <c r="C241" s="13" t="inlineStr">
        <is>
          <t>Done</t>
        </is>
      </c>
      <c r="D241"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41" s="14" t="inlineStr">
        <is>
          <t>Phase 9 — Assessments (33 routes)</t>
        </is>
      </c>
    </row>
    <row r="242">
      <c r="A242" s="4" t="n"/>
      <c r="B242" s="4" t="inlineStr">
        <is>
          <t>/assessment</t>
        </is>
      </c>
      <c r="C242" s="13" t="inlineStr">
        <is>
          <t>Done</t>
        </is>
      </c>
      <c r="D242"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2" s="14" t="inlineStr">
        <is>
          <t>Phase 9 — Assessments (33 routes)</t>
        </is>
      </c>
    </row>
    <row r="243">
      <c r="A243" s="4" t="n"/>
      <c r="B243" s="4" t="inlineStr">
        <is>
          <t>Fix dead-end pages flagged in STATUS.md</t>
        </is>
      </c>
      <c r="C243" s="13" t="inlineStr">
        <is>
          <t>Done</t>
        </is>
      </c>
      <c r="D243" s="4" t="inlineStr">
        <is>
          <t>sake, therapy, and love-language all got real next-step navigation (WhatsNext + real "Journey Continues" links) during their ports — the last remaining one, soulscore, is now built (see above), closing this out.</t>
        </is>
      </c>
      <c r="E243" s="14" t="inlineStr">
        <is>
          <t>Phase 9 — Assessments (33 routes)</t>
        </is>
      </c>
    </row>
    <row r="244">
      <c r="A244" s="4" t="n"/>
      <c r="B244" s="4" t="inlineStr">
        <is>
          <t>Port shared radar-chart / PDF-export / email-gate components used across assessments</t>
        </is>
      </c>
      <c r="C244" s="13" t="inlineStr">
        <is>
          <t>Done</t>
        </is>
      </c>
      <c r="D244" s="4" t="inlineStr">
        <is>
          <t>components/assessments/{radar-chart,result-actions,email-gate}.tsx, built during Phase 9 and reused unchanged by all 15 "Find Your X" quizzes plus /find-your-me.</t>
        </is>
      </c>
      <c r="E244" s="14" t="inlineStr">
        <is>
          <t>Phase 9 — Assessments (33 routes)</t>
        </is>
      </c>
    </row>
    <row r="245">
      <c r="A245" s="10" t="inlineStr">
        <is>
          <t>Phase 11 — Code MCP Server — REBUILT (2026-09-29)</t>
        </is>
      </c>
      <c r="B245" s="11" t="n"/>
      <c r="C245" s="11" t="n"/>
      <c r="D245" s="12" t="n"/>
    </row>
    <row r="246">
      <c r="A246" s="4" t="n"/>
      <c r="B246" s="4" t="inlineStr">
        <is>
          <t>src/lib/admin/</t>
        </is>
      </c>
      <c r="C246" s="13" t="inlineStr">
        <is>
          <t>Done</t>
        </is>
      </c>
      <c r="D246"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6" s="14" t="inlineStr">
        <is>
          <t>Phase 11 — Code MCP Server — REBUILT (2026-09-29)</t>
        </is>
      </c>
    </row>
    <row r="247">
      <c r="A247" s="4" t="n"/>
      <c r="B247" s="4" t="inlineStr">
        <is>
          <t>Per-person access via MCP_ADMIN_USERS (read/edit/write roles, tools filtered per role, calls logged, commits stamped [by &lt;name&gt;])</t>
        </is>
      </c>
      <c r="C247" s="13" t="inlineStr">
        <is>
          <t>Done</t>
        </is>
      </c>
      <c r="D247" s="4" t="inlineStr">
        <is>
          <t>mcp-auth.ts.</t>
        </is>
      </c>
      <c r="E247" s="14" t="inlineStr">
        <is>
          <t>Phase 11 — Code MCP Server — REBUILT (2026-09-29)</t>
        </is>
      </c>
    </row>
    <row r="248">
      <c r="A248" s="4" t="n"/>
      <c r="B248" s="4" t="inlineStr">
        <is>
          <t>Rules gate: get_project_rules serves CONTRIBUTING.md + AGENTS.md + docs/ai/ guides with a rulesVersion; all 6 write tools require it</t>
        </is>
      </c>
      <c r="C248" s="13" t="inlineStr">
        <is>
          <t>Done</t>
        </is>
      </c>
      <c r="D248" s="4" t="inlineStr">
        <is>
          <t>project-rules.ts.</t>
        </is>
      </c>
      <c r="E248" s="14" t="inlineStr">
        <is>
          <t>Phase 11 — Code MCP Server — REBUILT (2026-09-29)</t>
        </is>
      </c>
    </row>
    <row r="249">
      <c r="A249" s="4" t="n"/>
      <c r="B249" s="4" t="inlineStr">
        <is>
          <t>src/app/api/mcp/route.ts (header auth) + src/app/api/mcp/[token]/route.ts (token in URL).</t>
        </is>
      </c>
      <c r="C249" s="13" t="inlineStr">
        <is>
          <t>Done</t>
        </is>
      </c>
      <c r="D249" s="4" t="inlineStr"/>
      <c r="E249" s="14" t="inlineStr">
        <is>
          <t>Phase 11 — Code MCP Server — REBUILT (2026-09-29)</t>
        </is>
      </c>
    </row>
    <row r="250">
      <c r="A250" s="4" t="n"/>
      <c r="B250" s="4" t="inlineStr">
        <is>
          <t>docs/ai/ knowledge base (README, TASK_GUIDE, PROJECT_STRUCTURE, project_mcp_server), linked from CONTRIBUTING.md.</t>
        </is>
      </c>
      <c r="C250" s="13" t="inlineStr">
        <is>
          <t>Done</t>
        </is>
      </c>
      <c r="D250" s="4" t="inlineStr"/>
      <c r="E250" s="14" t="inlineStr">
        <is>
          <t>Phase 11 — Code MCP Server — REBUILT (2026-09-29)</t>
        </is>
      </c>
    </row>
    <row r="251">
      <c r="A251" s="4" t="n"/>
      <c r="B251" s="4" t="inlineStr">
        <is>
          <t>@modelcontextprotocol/sdk ^1.30.0 re-added (approved 2026-09-29); GITHUB_TOKEN/MCP_ADMIN_USERS/MCP_SITE_ORIGIN documented in .env.local.example.</t>
        </is>
      </c>
      <c r="C251" s="13" t="inlineStr">
        <is>
          <t>Done</t>
        </is>
      </c>
      <c r="D251" s="4" t="inlineStr"/>
      <c r="E251" s="14" t="inlineStr">
        <is>
          <t>Phase 11 — Code MCP Server — REBUILT (2026-09-29)</t>
        </is>
      </c>
    </row>
    <row r="252">
      <c r="A252" s="4" t="n"/>
      <c r="B252" s="4" t="inlineStr">
        <is>
          <t>Verified locally</t>
        </is>
      </c>
      <c r="C252" s="13" t="inlineStr">
        <is>
          <t>Done</t>
        </is>
      </c>
      <c r="D252" s="4" t="inlineStr">
        <is>
          <t>auth (401/405), role filtering, rules-gate markers, token-in-URL route, code check, Sanity query, SEO check.</t>
        </is>
      </c>
      <c r="E252" s="14" t="inlineStr">
        <is>
          <t>Phase 11 — Code MCP Server — REBUILT (2026-09-29)</t>
        </is>
      </c>
    </row>
    <row r="253">
      <c r="A253" s="4" t="n"/>
      <c r="B253" s="4" t="inlineStr">
        <is>
          <t>Sign-in for the MCP server (OAuth 2.1, ported from ramprate-ui, 2026-09-30)</t>
        </is>
      </c>
      <c r="C253" s="13" t="inlineStr">
        <is>
          <t>Done</t>
        </is>
      </c>
      <c r="D253" s="4" t="inlineStr">
        <is>
          <t>/oauth/authorize sign-in page + /.well-known metadata + register/authorize/token endpoints, stateless (signed tokens, no database), no new dependency. Verified end to end on a local production build. See docs/ai/project_mcp_server.md.</t>
        </is>
      </c>
      <c r="E253" s="14" t="inlineStr">
        <is>
          <t>Phase 11 — Code MCP Server — REBUILT (2026-09-29)</t>
        </is>
      </c>
    </row>
    <row r="254">
      <c r="A254" s="4" t="n"/>
      <c r="B254" s="4" t="inlineStr">
        <is>
          <t>Set GITHUB_TOKEN, MCP_ADMIN_USERS, MCP_LOGIN_PASSWORD, MCP_OAUTH_SECRET, MCP_SITE_ORIGIN, MCP_PUBLIC_ORIGIN in Netlify (done) (checked 2026-…</t>
        </is>
      </c>
      <c r="C254" s="16" t="inlineStr">
        <is>
          <t>Remaining</t>
        </is>
      </c>
      <c r="D254" s="4" t="inlineStr">
        <is>
          <t>10-07: all already set in Netlify). Left: connect Claude.ai to /api/mcp for real, and verify the GitHub flow end to end (branch → PR → deploy preview → publish_changes) against a real PR.</t>
        </is>
      </c>
      <c r="E254" s="14" t="inlineStr">
        <is>
          <t>Phase 11 — Code MCP Server — REBUILT (2026-09-29)</t>
        </is>
      </c>
    </row>
    <row r="255">
      <c r="A255" s="4" t="n"/>
      <c r="B255" s="4" t="inlineStr">
        <is>
          <t>Commit a team-wide .mcp.json (URL only) once the production URL is settled.</t>
        </is>
      </c>
      <c r="C255" s="16" t="inlineStr">
        <is>
          <t>Remaining</t>
        </is>
      </c>
      <c r="D255" s="4" t="inlineStr"/>
      <c r="E255" s="14" t="inlineStr">
        <is>
          <t>Phase 11 — Code MCP Server — REBUILT (2026-09-29)</t>
        </is>
      </c>
    </row>
    <row r="256">
      <c r="A256" s="4" t="n"/>
      <c r="B256" s="4" t="inlineStr">
        <is>
          <t>Google read-only tools added (2026-10-02)</t>
        </is>
      </c>
      <c r="C256" s="13" t="inlineStr">
        <is>
          <t>Done</t>
        </is>
      </c>
      <c r="D256"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6" s="14" t="inlineStr">
        <is>
          <t>Phase 11 — Code MCP Server — REBUILT (2026-09-29)</t>
        </is>
      </c>
    </row>
    <row r="257">
      <c r="A257" s="4" t="n"/>
      <c r="B257" s="4" t="inlineStr">
        <is>
          <t>publish_changes fixed (2026-10-02)</t>
        </is>
      </c>
      <c r="C257" s="13" t="inlineStr">
        <is>
          <t>Done</t>
        </is>
      </c>
      <c r="D257" s="4" t="inlineStr">
        <is>
          <t>it published every draft in Sanity (31 waiting for review today), so any one-line fix would have pushed them all live. Now it publishes only the drafts named in draft_ids; unknown ids are refused before anything happens (verified).</t>
        </is>
      </c>
      <c r="E257" s="14" t="inlineStr">
        <is>
          <t>Phase 11 — Code MCP Server — REBUILT (2026-09-29)</t>
        </is>
      </c>
    </row>
    <row r="258">
      <c r="A258" s="4" t="n"/>
      <c r="B258" s="4" t="inlineStr">
        <is>
          <t>seo_check_page decoded &amp;#39; but not React's &amp;#x27;, so descriptions showed Tony Greenberg&amp;#x27;s and the length was off</t>
        </is>
      </c>
      <c r="C258" s="13" t="inlineStr">
        <is>
          <t>Done</t>
        </is>
      </c>
      <c r="D258" s="4" t="inlineStr">
        <is>
          <t>Fixed and verified (2026-10-02).</t>
        </is>
      </c>
      <c r="E258" s="14" t="inlineStr">
        <is>
          <t>Phase 11 — Code MCP Server — REBUILT (2026-09-29)</t>
        </is>
      </c>
    </row>
    <row r="259">
      <c r="A259" s="4" t="n"/>
      <c r="B259" s="4" t="inlineStr">
        <is>
          <t>Search Console access for the service account added by the team (2026-10-02); all four search_console_* tools verified with real tonygreenbe…</t>
        </is>
      </c>
      <c r="C259" s="13" t="inlineStr">
        <is>
          <t>Done</t>
        </is>
      </c>
      <c r="D259" s="4" t="inlineStr">
        <is>
          <t>rg.com data (99 clicks / 1,663 impressions in 28 days, homepage indexed, sitemap 284 URLs, 0 errors, 82 warnings).</t>
        </is>
      </c>
      <c r="E259" s="14" t="inlineStr">
        <is>
          <t>Phase 11 — Code MCP Server — REBUILT (2026-09-29)</t>
        </is>
      </c>
    </row>
    <row r="260">
      <c r="A260" s="4" t="n"/>
      <c r="B260" s="4" t="inlineStr">
        <is>
          <t>GOOGLE_GA_CLIENT_EMAIL, GOOGLE_GA_PRIVATE_KEY, GA4_PROPERTY_ID_TONYGREENBERG set in Netlify (2026-10-02, via the Netlify API, values checked…</t>
        </is>
      </c>
      <c r="C260" s="13" t="inlineStr">
        <is>
          <t>Done</t>
        </is>
      </c>
      <c r="D260" s="4" t="inlineStr">
        <is>
          <t xml:space="preserve"> equal to .env.local; this plan can't limit a variable's scopes, so they're available to builds and functions). Used from the next deploy.</t>
        </is>
      </c>
      <c r="E260" s="14" t="inlineStr">
        <is>
          <t>Phase 11 — Code MCP Server — REBUILT (2026-09-29)</t>
        </is>
      </c>
    </row>
    <row r="261">
      <c r="A261" s="4" t="n"/>
      <c r="B261" s="4" t="inlineStr">
        <is>
          <t>Per-request change system ported from ramprate-ui (2026-10-02, owner said yes)</t>
        </is>
      </c>
      <c r="C261" s="13" t="inlineStr">
        <is>
          <t>Done</t>
        </is>
      </c>
      <c r="D261"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61" s="14" t="inlineStr">
        <is>
          <t>Phase 11 — Code MCP Server — REBUILT (2026-09-29)</t>
        </is>
      </c>
    </row>
    <row r="262">
      <c r="A262" s="4" t="n"/>
      <c r="B262" s="4" t="inlineStr">
        <is>
          <t>Merge the CI fix into main</t>
        </is>
      </c>
      <c r="C262" s="13" t="inlineStr">
        <is>
          <t>Done</t>
        </is>
      </c>
      <c r="D262"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2" s="14" t="inlineStr">
        <is>
          <t>Phase 11 — Code MCP Server — REBUILT (2026-09-29)</t>
        </is>
      </c>
    </row>
    <row r="263">
      <c r="A263" s="4" t="n"/>
      <c r="B263" s="4" t="inlineStr">
        <is>
          <t>Blocked on you (Google)</t>
        </is>
      </c>
      <c r="C263" s="13" t="inlineStr">
        <is>
          <t>Done</t>
        </is>
      </c>
      <c r="D263"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3" s="14" t="inlineStr">
        <is>
          <t>Phase 11 — Code MCP Server — REBUILT (2026-09-29)</t>
        </is>
      </c>
    </row>
    <row r="264">
      <c r="A264" s="4" t="n"/>
      <c r="B264" s="4" t="inlineStr">
        <is>
          <t>Synced with ramprate-ui's MCP server (2026-10-09, owner asked; card included by their choice)</t>
        </is>
      </c>
      <c r="C264" s="13" t="inlineStr">
        <is>
          <t>Done</t>
        </is>
      </c>
      <c r="D264"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4" s="14" t="inlineStr">
        <is>
          <t>Phase 11 — Code MCP Server — REBUILT (2026-09-29)</t>
        </is>
      </c>
    </row>
    <row r="265">
      <c r="A265" s="4" t="n"/>
      <c r="B265" s="4" t="inlineStr">
        <is>
          <t>Test the new review end to end on a deploy preview</t>
        </is>
      </c>
      <c r="C265" s="16" t="inlineStr">
        <is>
          <t>Remaining</t>
        </is>
      </c>
      <c r="D265" s="4" t="inlineStr">
        <is>
          <t>(needs a yes, it opens a real pull request): one throwaway change from Claude.ai or ChatGPT: start (unclear request, so the confirm step shows), confirm, edit, review card, screenshots, upload link, then discard.</t>
        </is>
      </c>
      <c r="E265" s="14" t="inlineStr">
        <is>
          <t>Phase 11 — Code MCP Server — REBUILT (2026-09-29)</t>
        </is>
      </c>
    </row>
    <row r="266">
      <c r="A266" s="10" t="inlineStr">
        <is>
          <t>Phase 12 — SEO Hardening, Redirects &amp; Cutover Prep</t>
        </is>
      </c>
      <c r="B266" s="11" t="n"/>
      <c r="C266" s="11" t="n"/>
      <c r="D266" s="12" t="n"/>
    </row>
    <row r="267">
      <c r="A267" s="4" t="n"/>
      <c r="B267" s="4" t="inlineStr">
        <is>
          <t>Per-page generateMetadata (title, description, OG, Twitter Card, canonical) for every ported route, sourced from Sanity seo object where con…</t>
        </is>
      </c>
      <c r="C267" s="13" t="inlineStr">
        <is>
          <t>Done</t>
        </is>
      </c>
      <c r="D267"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7" s="14" t="inlineStr">
        <is>
          <t>Phase 12 — SEO Hardening, Redirects &amp; Cutover Prep</t>
        </is>
      </c>
    </row>
    <row r="268">
      <c r="A268" s="4" t="n"/>
      <c r="B268" s="4" t="inlineStr">
        <is>
          <t>sitemap.ts generated from real Sanity content + static route list, auto-updates on publish</t>
        </is>
      </c>
      <c r="C268" s="13" t="inlineStr">
        <is>
          <t>Done</t>
        </is>
      </c>
      <c r="D268"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8" s="14" t="inlineStr">
        <is>
          <t>Phase 12 — SEO Hardening, Redirects &amp; Cutover Prep</t>
        </is>
      </c>
    </row>
    <row r="269">
      <c r="A269" s="4" t="n"/>
      <c r="B269" s="4" t="inlineStr">
        <is>
          <t>llms.txt</t>
        </is>
      </c>
      <c r="C269" s="13" t="inlineStr">
        <is>
          <t>Done</t>
        </is>
      </c>
      <c r="D269" s="4" t="inlineStr">
        <is>
          <t>fetched verbatim from the still-live site and saved to web/public/llms.txt (real content: Tony's bio, expertise, full article index by category, every product/tool section) — do this before Manus goes away, it won't be recoverable after</t>
        </is>
      </c>
      <c r="E269" s="14" t="inlineStr">
        <is>
          <t>Phase 12 — SEO Hardening, Redirects &amp; Cutover Prep</t>
        </is>
      </c>
    </row>
    <row r="270">
      <c r="A270" s="4" t="n"/>
      <c r="B270" s="4" t="inlineStr">
        <is>
          <t>robots.txt</t>
        </is>
      </c>
      <c r="C270" s="13" t="inlineStr">
        <is>
          <t>Done</t>
        </is>
      </c>
      <c r="D270"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70" s="14" t="inlineStr">
        <is>
          <t>Phase 12 — SEO Hardening, Redirects &amp; Cutover Prep</t>
        </is>
      </c>
    </row>
    <row r="271">
      <c r="A271" s="4" t="n"/>
      <c r="B271" s="4" t="inlineStr">
        <is>
          <t>JSON-LD</t>
        </is>
      </c>
      <c r="C271" s="13" t="inlineStr">
        <is>
          <t>Done</t>
        </is>
      </c>
      <c r="D271"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71" s="14" t="inlineStr">
        <is>
          <t>Phase 12 — SEO Hardening, Redirects &amp; Cutover Prep</t>
        </is>
      </c>
    </row>
    <row r="272">
      <c r="A272" s="4" t="n"/>
      <c r="B272" s="4" t="inlineStr">
        <is>
          <t>Article JSON-LD on /blog/[slug], built from real per-post Sanity data (headline, image, datePublished/dateModified, author, canonical URL)</t>
        </is>
      </c>
      <c r="C272" s="13" t="inlineStr">
        <is>
          <t>Done</t>
        </is>
      </c>
      <c r="D272" s="4" t="inlineStr">
        <is>
          <t>verified live on a real post</t>
        </is>
      </c>
      <c r="E272" s="14" t="inlineStr">
        <is>
          <t>Phase 12 — SEO Hardening, Redirects &amp; Cutover Prep</t>
        </is>
      </c>
    </row>
    <row r="273">
      <c r="A273" s="4" t="n"/>
      <c r="B273" s="4" t="inlineStr">
        <is>
          <t>Build the full Manus/legacy-URL → Next.js-URL 301 redirect map (next.config.ts redirects() or Sanity redirect documents)</t>
        </is>
      </c>
      <c r="C273" s="13" t="inlineStr">
        <is>
          <t>Done</t>
        </is>
      </c>
      <c r="D273"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3" s="14" t="inlineStr">
        <is>
          <t>Phase 12 — SEO Hardening, Redirects &amp; Cutover Prep</t>
        </is>
      </c>
    </row>
    <row r="274">
      <c r="A274" s="4" t="n"/>
      <c r="B274" s="4" t="inlineStr">
        <is>
          <t>/path/:archetype (src/app/path/[archetype]/page.tsx)</t>
        </is>
      </c>
      <c r="C274" s="13" t="inlineStr">
        <is>
          <t>Done</t>
        </is>
      </c>
      <c r="D274"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4" s="14" t="inlineStr">
        <is>
          <t>Phase 12 — SEO Hardening, Redirects &amp; Cutover Prep</t>
        </is>
      </c>
    </row>
    <row r="275">
      <c r="A275" s="4" t="n"/>
      <c r="B275" s="4" t="inlineStr">
        <is>
          <t>/my-journey (src/app/my-journey/page.tsx + components/assessments/my-journey-dashboard.tsx)</t>
        </is>
      </c>
      <c r="C275" s="13" t="inlineStr">
        <is>
          <t>Done</t>
        </is>
      </c>
      <c r="D275"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5" s="14" t="inlineStr">
        <is>
          <t>Phase 12 — SEO Hardening, Redirects &amp; Cutover Prep</t>
        </is>
      </c>
    </row>
    <row r="276">
      <c r="A276" s="4" t="n"/>
      <c r="B276" s="4" t="inlineStr">
        <is>
          <t>/the-open-door (src/app/the-open-door/page.tsx)</t>
        </is>
      </c>
      <c r="C276" s="13" t="inlineStr">
        <is>
          <t>Done</t>
        </is>
      </c>
      <c r="D276"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6" s="14" t="inlineStr">
        <is>
          <t>Phase 12 — SEO Hardening, Redirects &amp; Cutover Prep</t>
        </is>
      </c>
    </row>
    <row r="277">
      <c r="A277" s="4" t="n"/>
      <c r="B277" s="4" t="inlineStr">
        <is>
          <t>Homepage "Recent Updates" band (2026-09-29)</t>
        </is>
      </c>
      <c r="C277" s="13" t="inlineStr">
        <is>
          <t>Done</t>
        </is>
      </c>
      <c r="D277"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7" s="14" t="inlineStr">
        <is>
          <t>Phase 12 — SEO Hardening, Redirects &amp; Cutover Prep</t>
        </is>
      </c>
    </row>
    <row r="278">
      <c r="A278" s="4" t="n"/>
      <c r="B278" s="4" t="inlineStr">
        <is>
          <t>Re-sync the legacy reference</t>
        </is>
      </c>
      <c r="C278" s="13" t="inlineStr">
        <is>
          <t>Done</t>
        </is>
      </c>
      <c r="D278"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8" s="14" t="inlineStr">
        <is>
          <t>Phase 12 — SEO Hardening, Redirects &amp; Cutover Prep</t>
        </is>
      </c>
    </row>
    <row r="279">
      <c r="A279" s="4" t="n"/>
      <c r="B279" s="4" t="inlineStr">
        <is>
          <t>Visual diff pass: every ported page vs</t>
        </is>
      </c>
      <c r="C279" s="13" t="inlineStr">
        <is>
          <t>Done</t>
        </is>
      </c>
      <c r="D279"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9" s="14" t="inlineStr">
        <is>
          <t>Phase 12 — SEO Hardening, Redirects &amp; Cutover Prep</t>
        </is>
      </c>
    </row>
    <row r="280">
      <c r="A280" s="4" t="n"/>
      <c r="B280" s="4" t="inlineStr">
        <is>
          <t>Padding / spacing on the story pages matched to live (2026-10-01)</t>
        </is>
      </c>
      <c r="C280" s="13" t="inlineStr">
        <is>
          <t>Done</t>
        </is>
      </c>
      <c r="D280"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80" s="14" t="inlineStr">
        <is>
          <t>Phase 12 — SEO Hardening, Redirects &amp; Cutover Prep</t>
        </is>
      </c>
    </row>
    <row r="281">
      <c r="A281" s="4" t="n"/>
      <c r="B281" s="4" t="inlineStr">
        <is>
          <t>Header-to-title spacing re-checked (2026-10-02)</t>
        </is>
      </c>
      <c r="C281" s="13" t="inlineStr">
        <is>
          <t>Done</t>
        </is>
      </c>
      <c r="D281"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81" s="14" t="inlineStr">
        <is>
          <t>Phase 12 — SEO Hardening, Redirects &amp; Cutover Prep</t>
        </is>
      </c>
    </row>
    <row r="282">
      <c r="A282" s="4" t="n"/>
      <c r="B282" s="4" t="inlineStr">
        <is>
          <t>HumanOS headings in capitals like live (2026-10-02, owner said yes)</t>
        </is>
      </c>
      <c r="C282" s="13" t="inlineStr">
        <is>
          <t>Done</t>
        </is>
      </c>
      <c r="D282" s="4" t="inlineStr">
        <is>
          <t>the 4 headings live capitalises on /humanos (title, "Are you a Maximizer...", "Take the Diagnostic", "The Diagnostic") get uppercase; the words are unchanged. The subpages already matched.</t>
        </is>
      </c>
      <c r="E282" s="14" t="inlineStr">
        <is>
          <t>Phase 12 — SEO Hardening, Redirects &amp; Cutover Prep</t>
        </is>
      </c>
    </row>
    <row r="283">
      <c r="A283" s="4" t="n"/>
      <c r="B283" s="4" t="inlineStr">
        <is>
          <t>More layout gaps matched to live (2026-10-02)</t>
        </is>
      </c>
      <c r="C283" s="13" t="inlineStr">
        <is>
          <t>Done</t>
        </is>
      </c>
      <c r="D283"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3" s="14" t="inlineStr">
        <is>
          <t>Phase 12 — SEO Hardening, Redirects &amp; Cutover Prep</t>
        </is>
      </c>
    </row>
    <row r="284">
      <c r="A284" s="4" t="n"/>
      <c r="B284" s="4" t="inlineStr">
        <is>
          <t>Full sweep vs live (2026-10-02)</t>
        </is>
      </c>
      <c r="C284" s="13" t="inlineStr">
        <is>
          <t>Done</t>
        </is>
      </c>
      <c r="D284"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4" s="14" t="inlineStr">
        <is>
          <t>Phase 12 — SEO Hardening, Redirects &amp; Cutover Prep</t>
        </is>
      </c>
    </row>
    <row r="285">
      <c r="A285" s="4" t="n"/>
      <c r="B285" s="4" t="inlineStr">
        <is>
          <t>Sweep leftovers fixed (2026-10-06)</t>
        </is>
      </c>
      <c r="C285" s="13" t="inlineStr">
        <is>
          <t>Done</t>
        </is>
      </c>
      <c r="D285"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5" s="14" t="inlineStr">
        <is>
          <t>Phase 12 — SEO Hardening, Redirects &amp; Cutover Prep</t>
        </is>
      </c>
    </row>
    <row r="286">
      <c r="A286" s="4" t="n"/>
      <c r="B286" s="4" t="inlineStr">
        <is>
          <t>Match live's redesigned pages (2026-10-06, owner said go)</t>
        </is>
      </c>
      <c r="C286" s="13" t="inlineStr">
        <is>
          <t>Done</t>
        </is>
      </c>
      <c r="D286"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6" s="14" t="inlineStr">
        <is>
          <t>Phase 12 — SEO Hardening, Redirects &amp; Cutover Prep</t>
        </is>
      </c>
    </row>
    <row r="287">
      <c r="A287" s="4" t="n"/>
      <c r="B287" s="4" t="inlineStr">
        <is>
          <t>Still different from live (decided 2026-10-09)</t>
        </is>
      </c>
      <c r="C287" s="13" t="inlineStr">
        <is>
          <t>Done</t>
        </is>
      </c>
      <c r="D287" s="4" t="inlineStr">
        <is>
          <t>blog posts (done) (done 2026-10-07, see Phase 5); /find-my on live hides the site header. /walk-through is a 404 on live now. Owner: keep our site menu on /find-my (visitors can still reach the rest of the site); nothing left to change.</t>
        </is>
      </c>
      <c r="E287" s="14" t="inlineStr">
        <is>
          <t>Phase 12 — SEO Hardening, Redirects &amp; Cutover Prep</t>
        </is>
      </c>
    </row>
    <row r="288">
      <c r="A288" s="4" t="n"/>
      <c r="B288" s="4" t="inlineStr">
        <is>
          <t>Design change on live (owner: "match live", 2026-10-09)</t>
        </is>
      </c>
      <c r="C288" s="13" t="inlineStr">
        <is>
          <t>Done</t>
        </is>
      </c>
      <c r="D288"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8" s="14" t="inlineStr">
        <is>
          <t>Phase 12 — SEO Hardening, Redirects &amp; Cutover Prep</t>
        </is>
      </c>
    </row>
    <row r="289">
      <c r="A289" s="4" t="n"/>
      <c r="B289" s="4" t="inlineStr">
        <is>
          <t>Link check across all ported pages (no 404s, no broken internal cross-references)</t>
        </is>
      </c>
      <c r="C289" s="13" t="inlineStr">
        <is>
          <t>Done</t>
        </is>
      </c>
      <c r="D289"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9" s="14" t="inlineStr">
        <is>
          <t>Phase 12 — SEO Hardening, Redirects &amp; Cutover Prep</t>
        </is>
      </c>
    </row>
    <row r="290">
      <c r="A290" s="4" t="n"/>
      <c r="B290" s="4" t="inlineStr">
        <is>
          <t>Sitemap: no noindex pages (2026-10-08)</t>
        </is>
      </c>
      <c r="C290" s="13" t="inlineStr">
        <is>
          <t>Done</t>
        </is>
      </c>
      <c r="D290"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90" s="14" t="inlineStr">
        <is>
          <t>Phase 12 — SEO Hardening, Redirects &amp; Cutover Prep</t>
        </is>
      </c>
    </row>
    <row r="291">
      <c r="A291" s="4" t="n"/>
      <c r="B291" s="4" t="inlineStr">
        <is>
          <t>Lighthouse pass (performance/accessibility/SEO) on top 20 pages by traffic 2026-09-30, 20 key pages (no traffic data yet), local production …</t>
        </is>
      </c>
      <c r="C291" s="13" t="inlineStr">
        <is>
          <t>Done</t>
        </is>
      </c>
      <c r="D291"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91" s="14" t="inlineStr">
        <is>
          <t>Phase 12 — SEO Hardening, Redirects &amp; Cutover Prep</t>
        </is>
      </c>
    </row>
    <row r="292">
      <c r="A292" s="4" t="n"/>
      <c r="B292" s="4" t="inlineStr">
        <is>
          <t>No Manus links anywhere (2026-10-09, owner: "drop them everywhere")</t>
        </is>
      </c>
      <c r="C292" s="13" t="inlineStr">
        <is>
          <t>Done</t>
        </is>
      </c>
      <c r="D292"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2" s="14" t="inlineStr">
        <is>
          <t>Phase 12 — SEO Hardening, Redirects &amp; Cutover Prep</t>
        </is>
      </c>
    </row>
    <row r="293">
      <c r="A293" s="4" t="n"/>
      <c r="B293" s="4" t="inlineStr">
        <is>
          <t>Owner answers, round 2 (2026-10-09)</t>
        </is>
      </c>
      <c r="C293" s="13" t="inlineStr">
        <is>
          <t>Done</t>
        </is>
      </c>
      <c r="D293"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3" s="14" t="inlineStr">
        <is>
          <t>Phase 12 — SEO Hardening, Redirects &amp; Cutover Prep</t>
        </is>
      </c>
    </row>
    <row r="294">
      <c r="A294" s="4" t="n"/>
      <c r="B294" s="4" t="inlineStr">
        <is>
          <t>Arrows in buttons and links are icons (2026-10-09, owner said yes)</t>
        </is>
      </c>
      <c r="C294" s="13" t="inlineStr">
        <is>
          <t>Done</t>
        </is>
      </c>
      <c r="D294"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4" s="14" t="inlineStr">
        <is>
          <t>Phase 12 — SEO Hardening, Redirects &amp; Cutover Prep</t>
        </is>
      </c>
    </row>
    <row r="295">
      <c r="A295" s="4" t="n"/>
      <c r="B295" s="4" t="inlineStr">
        <is>
          <t>Category pages pre-built (2026-10-09)</t>
        </is>
      </c>
      <c r="C295" s="13" t="inlineStr">
        <is>
          <t>Done</t>
        </is>
      </c>
      <c r="D295"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5" s="14" t="inlineStr">
        <is>
          <t>Phase 12 — SEO Hardening, Redirects &amp; Cutover Prep</t>
        </is>
      </c>
    </row>
    <row r="296">
      <c r="A296" s="4" t="n"/>
      <c r="B296" s="4" t="inlineStr">
        <is>
          <t>Error pages (2026-10-09, owner asked)</t>
        </is>
      </c>
      <c r="C296" s="13" t="inlineStr">
        <is>
          <t>Done</t>
        </is>
      </c>
      <c r="D296"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6" s="14" t="inlineStr">
        <is>
          <t>Phase 12 — SEO Hardening, Redirects &amp; Cutover Prep</t>
        </is>
      </c>
    </row>
    <row r="297">
      <c r="A297" s="4" t="n"/>
      <c r="B297" s="4" t="inlineStr">
        <is>
          <t>SEO audit fixes (2026-10-06)</t>
        </is>
      </c>
      <c r="C297" s="13" t="inlineStr">
        <is>
          <t>Done</t>
        </is>
      </c>
      <c r="D297"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7" s="14" t="inlineStr">
        <is>
          <t>Phase 12 — SEO Hardening, Redirects &amp; Cutover Prep</t>
        </is>
      </c>
    </row>
    <row r="298">
      <c r="A298" s="4" t="n"/>
      <c r="B298" s="4" t="inlineStr">
        <is>
          <t>SEO audit items needing a yes (2026-10-06; owner said yes to the copy 2026-10-10, done)</t>
        </is>
      </c>
      <c r="C298" s="13" t="inlineStr">
        <is>
          <t>Done</t>
        </is>
      </c>
      <c r="D298"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8" s="14" t="inlineStr">
        <is>
          <t>Phase 12 — SEO Hardening, Redirects &amp; Cutover Prep</t>
        </is>
      </c>
    </row>
    <row r="299">
      <c r="A299" s="4" t="n"/>
      <c r="B299" s="4" t="inlineStr">
        <is>
          <t>Google Analytics tag (found missing 2026-10-10, added the same day)</t>
        </is>
      </c>
      <c r="C299" s="13" t="inlineStr">
        <is>
          <t>Done</t>
        </is>
      </c>
      <c r="D299"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9" s="14" t="inlineStr">
        <is>
          <t>Phase 12 — SEO Hardening, Redirects &amp; Cutover Prep</t>
        </is>
      </c>
    </row>
    <row r="300">
      <c r="A300" s="4" t="n"/>
      <c r="B300" s="4" t="inlineStr">
        <is>
          <t>Old site's custom GA4 events ported (2026-10-10, owner asked to match legacy's Google tags)</t>
        </is>
      </c>
      <c r="C300" s="13" t="inlineStr">
        <is>
          <t>Done</t>
        </is>
      </c>
      <c r="D300"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300" s="14" t="inlineStr">
        <is>
          <t>Phase 12 — SEO Hardening, Redirects &amp; Cutover Prep</t>
        </is>
      </c>
    </row>
    <row r="301">
      <c r="A301" s="4" t="n"/>
      <c r="B301" s="4" t="inlineStr">
        <is>
          <t>Connect Google Search Console + GA4 to the new deployment on day one of cutover</t>
        </is>
      </c>
      <c r="C301" s="16" t="inlineStr">
        <is>
          <t>Remaining</t>
        </is>
      </c>
      <c r="D301" s="4" t="inlineStr"/>
      <c r="E301" s="14" t="inlineStr">
        <is>
          <t>Phase 12 — SEO Hardening, Redirects &amp; Cutover Prep</t>
        </is>
      </c>
    </row>
    <row r="302">
      <c r="A302" s="4" t="n"/>
      <c r="B302" s="4" t="inlineStr">
        <is>
          <t>Restore/adapt the manus.space triple-layer noindex lockdown pattern for any remaining staging URLs</t>
        </is>
      </c>
      <c r="C302" s="13" t="inlineStr">
        <is>
          <t>Done</t>
        </is>
      </c>
      <c r="D302"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2" s="14" t="inlineStr">
        <is>
          <t>Phase 12 — SEO Hardening, Redirects &amp; Cutover Prep</t>
        </is>
      </c>
    </row>
    <row r="303">
      <c r="A303" s="4" t="n"/>
      <c r="B303" s="4" t="inlineStr">
        <is>
          <t>"Keep going" strip above the footer on every page (2026-10-07)</t>
        </is>
      </c>
      <c r="C303" s="13" t="inlineStr">
        <is>
          <t>Done</t>
        </is>
      </c>
      <c r="D303" s="4" t="inlineStr">
        <is>
          <t>legacy's WhereNext (deferred in Phase 3, never picked up) with its per-page suggestions, Home · Site Index · All Assessments; links pointed at current routes.</t>
        </is>
      </c>
      <c r="E303" s="14" t="inlineStr">
        <is>
          <t>Phase 12 — SEO Hardening, Redirects &amp; Cutover Prep</t>
        </is>
      </c>
    </row>
    <row r="304">
      <c r="A304" s="4" t="n"/>
      <c r="B304" s="4" t="inlineStr">
        <is>
          <t>Live-only and redesigned pages from the 2026-10-07 page sweep (188 pages compared with live)</t>
        </is>
      </c>
      <c r="C304" s="13" t="inlineStr">
        <is>
          <t>Done</t>
        </is>
      </c>
      <c r="D304"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4" s="14" t="inlineStr">
        <is>
          <t>Phase 12 — SEO Hardening, Redirects &amp; Cutover Prep</t>
        </is>
      </c>
    </row>
    <row r="305">
      <c r="A305" s="4" t="n"/>
      <c r="B305" s="4" t="inlineStr">
        <is>
          <t>/alex-azzi locked like live (2026-10-07, owner said match it)</t>
        </is>
      </c>
      <c r="C305" s="13" t="inlineStr">
        <is>
          <t>Done</t>
        </is>
      </c>
      <c r="D305" s="4" t="inlineStr">
        <is>
          <t>same server-checked password as the locked essay (GATED_POST_PASSWORD, now also set in Netlify), live's "Restricted Access" screen, the report not in the page until unlocked, out of search and the sitemap.</t>
        </is>
      </c>
      <c r="E305" s="14" t="inlineStr">
        <is>
          <t>Phase 12 — SEO Hardening, Redirects &amp; Cutover Prep</t>
        </is>
      </c>
    </row>
    <row r="306">
      <c r="A306" s="4" t="n"/>
      <c r="B306" s="4" t="inlineStr">
        <is>
          <t>Live's title fonts and sizes (2026-10-07, "fix the style")</t>
        </is>
      </c>
      <c r="C306" s="13" t="inlineStr">
        <is>
          <t>Done</t>
        </is>
      </c>
      <c r="D306"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6" s="14" t="inlineStr">
        <is>
          <t>Phase 12 — SEO Hardening, Redirects &amp; Cutover Prep</t>
        </is>
      </c>
    </row>
    <row r="307">
      <c r="A307" s="4" t="n"/>
      <c r="B307" s="4" t="inlineStr">
        <is>
          <t>Peptide page images rescued into Sanity and wired (2026-10-07)</t>
        </is>
      </c>
      <c r="C307" s="13" t="inlineStr">
        <is>
          <t>Done</t>
        </is>
      </c>
      <c r="D307" s="4" t="inlineStr">
        <is>
          <t>/peptide-watch hero plus its 11 section banners, /peptide-matrix and /peptide-supply-chain heroes, the /peptide-hall-of-shame hero (scripts/rescue-2026-10-07-peptide-images.ts, logged in docs/ai/manus-media-rescue.md).</t>
        </is>
      </c>
      <c r="E307" s="14" t="inlineStr">
        <is>
          <t>Phase 12 — SEO Hardening, Redirects &amp; Cutover Prep</t>
        </is>
      </c>
    </row>
    <row r="308">
      <c r="A308" s="4" t="n"/>
      <c r="B308" s="4" t="inlineStr">
        <is>
          <t>Live's editorial redesign, first group (2026-10-07)</t>
        </is>
      </c>
      <c r="C308" s="13" t="inlineStr">
        <is>
          <t>Done</t>
        </is>
      </c>
      <c r="D308"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8" s="14" t="inlineStr">
        <is>
          <t>Phase 12 — SEO Hardening, Redirects &amp; Cutover Prep</t>
        </is>
      </c>
    </row>
    <row r="309">
      <c r="A309" s="4" t="n"/>
      <c r="B309" s="4" t="inlineStr">
        <is>
          <t>Live's redesign, second group (done 2026-10-08)</t>
        </is>
      </c>
      <c r="C309" s="13" t="inlineStr">
        <is>
          <t>Done</t>
        </is>
      </c>
      <c r="D309"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9" s="14" t="inlineStr">
        <is>
          <t>Phase 12 — SEO Hardening, Redirects &amp; Cutover Prep</t>
        </is>
      </c>
    </row>
    <row r="310">
      <c r="A310" s="4" t="n"/>
      <c r="B310" s="4" t="inlineStr">
        <is>
          <t>BrewSoul top of page (2026-10-08, owner: "button in the center at the top doesn't look good")</t>
        </is>
      </c>
      <c r="C310" s="13" t="inlineStr">
        <is>
          <t>Done</t>
        </is>
      </c>
      <c r="D310"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10" s="14" t="inlineStr">
        <is>
          <t>Phase 12 — SEO Hardening, Redirects &amp; Cutover Prep</t>
        </is>
      </c>
    </row>
    <row r="311">
      <c r="A311" s="4" t="n"/>
      <c r="B311" s="4" t="inlineStr">
        <is>
          <t>/pri-efficacy's "Simulation / Live Calibrations" switch like live (2026-10-08)</t>
        </is>
      </c>
      <c r="C311" s="13" t="inlineStr">
        <is>
          <t>Done</t>
        </is>
      </c>
      <c r="D311"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11" s="14" t="inlineStr">
        <is>
          <t>Phase 12 — SEO Hardening, Redirects &amp; Cutover Prep</t>
        </is>
      </c>
    </row>
    <row r="312">
      <c r="A312" s="4" t="n"/>
      <c r="B312" s="4" t="inlineStr">
        <is>
          <t>/brewsoul/browse hero readable (2026-10-08, owner said go ahead)</t>
        </is>
      </c>
      <c r="C312" s="13" t="inlineStr">
        <is>
          <t>Done</t>
        </is>
      </c>
      <c r="D312" s="4" t="inlineStr">
        <is>
          <t>a soft cream glow behind the title block so "The Catalog", the subtitle and the stat labels read clearly over the coffee photo (live is hard to read there too; rule 20). Photo still shows around the edges. Checked at 390/1280px.</t>
        </is>
      </c>
      <c r="E312" s="14" t="inlineStr">
        <is>
          <t>Phase 12 — SEO Hardening, Redirects &amp; Cutover Prep</t>
        </is>
      </c>
    </row>
    <row r="313">
      <c r="A313" s="10" t="inlineStr">
        <is>
          <t>Phase 13 — Images Needed in Sanity</t>
        </is>
      </c>
      <c r="B313" s="11" t="n"/>
      <c r="C313" s="11" t="n"/>
      <c r="D313" s="12" t="n"/>
    </row>
    <row r="314">
      <c r="A314" s="4" t="n"/>
      <c r="B314" s="4" t="inlineStr">
        <is>
          <t>Manus media rescue (2026-09-29)</t>
        </is>
      </c>
      <c r="C314" s="13" t="inlineStr">
        <is>
          <t>Done</t>
        </is>
      </c>
      <c r="D314"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4" s="14" t="inlineStr">
        <is>
          <t>Phase 13 — Images Needed in Sanity</t>
        </is>
      </c>
    </row>
    <row r="315">
      <c r="A315" s="4" t="n"/>
      <c r="B315" s="4" t="inlineStr">
        <is>
          <t>Favicon</t>
        </is>
      </c>
      <c r="C315" s="13" t="inlineStr">
        <is>
          <t>Done</t>
        </is>
      </c>
      <c r="D315" s="4" t="inlineStr">
        <is>
          <t>real "G" brand mark generated from the header's actual wordmark treatment (src/app/icon.tsx), see Phase 3</t>
        </is>
      </c>
      <c r="E315" s="14" t="inlineStr">
        <is>
          <t>Phase 13 — Images Needed in Sanity</t>
        </is>
      </c>
    </row>
    <row r="316">
      <c r="A316" s="4" t="n"/>
      <c r="B316" s="4" t="inlineStr">
        <is>
          <t>Site-wide: logo (light + dark) beyond the current text wordmark</t>
        </is>
      </c>
      <c r="C316" s="13" t="inlineStr">
        <is>
          <t>Done</t>
        </is>
      </c>
      <c r="D316" s="4" t="inlineStr">
        <is>
          <t>Decided 2026-10-13 (owner): keep the text logo. The header's "TonyG" wordmark (site-header.tsx, gold G) already has light and dark colours, so no change. (Default/fallback OG image 1200×630 exists: public/images/default-og.png, checked 2026-10-02.)</t>
        </is>
      </c>
      <c r="E316" s="14" t="inlineStr">
        <is>
          <t>Phase 13 — Images Needed in Sanity</t>
        </is>
      </c>
    </row>
    <row r="317">
      <c r="A317" s="4" t="n"/>
      <c r="B317" s="4" t="inlineStr">
        <is>
          <t>Author photo(s) for blog author schema (Tony Greenberg headshot at minimum)</t>
        </is>
      </c>
      <c r="C317" s="13" t="inlineStr">
        <is>
          <t>Done</t>
        </is>
      </c>
      <c r="D317" s="4" t="inlineStr">
        <is>
          <t>2026-10-02: the rescued headshot is already the author avatar in Sanity; now also in every post's Article JSON-LD (author image + url /about). The JSON-LD publisher logo pointed at /favicon.ico, a 404 here; now /icon.</t>
        </is>
      </c>
      <c r="E317" s="14" t="inlineStr">
        <is>
          <t>Phase 13 — Images Needed in Sanity</t>
        </is>
      </c>
    </row>
    <row r="318">
      <c r="A318" s="4" t="n"/>
      <c r="B318" s="4" t="inlineStr">
        <is>
          <t>Blog hero images</t>
        </is>
      </c>
      <c r="C318" s="13" t="inlineStr">
        <is>
          <t>Done</t>
        </is>
      </c>
      <c r="D318" s="4" t="inlineStr">
        <is>
          <t>audited, then migrated. Final state:</t>
        </is>
      </c>
      <c r="E318" s="14" t="inlineStr">
        <is>
          <t>Phase 13 — Images Needed in Sanity</t>
        </is>
      </c>
    </row>
    <row r="319">
      <c r="A319" s="4" t="n"/>
      <c r="B319" s="4" t="inlineStr">
        <is>
          <t>22 posts have a real hero image, now live in Sanity (17 already on RampRate's own CloudFront + 4 rescued from the legacy /api/img/ proxy + 1…</t>
        </is>
      </c>
      <c r="C319" s="13" t="inlineStr">
        <is>
          <t>Done</t>
        </is>
      </c>
      <c r="D319" s="4" t="inlineStr">
        <is>
          <t xml:space="preserve"> rescued from /manus-storage/, all pulled over by migrate-blog-posts.ts before Manus is decommissioned)</t>
        </is>
      </c>
      <c r="E319" s="14" t="inlineStr">
        <is>
          <t>Phase 13 — Images Needed in Sanity</t>
        </is>
      </c>
    </row>
    <row r="320">
      <c r="A320" s="4" t="n"/>
      <c r="B320" s="4" t="inlineStr">
        <is>
          <t>7 more posts got a real, unique hero image rescued from the live legacy site's newly-added art this pass (scripts/rescue-2026-09-blog-images…</t>
        </is>
      </c>
      <c r="C320" s="13" t="inlineStr">
        <is>
          <t>Done</t>
        </is>
      </c>
      <c r="D320"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20" s="14" t="inlineStr">
        <is>
          <t>Phase 13 — Images Needed in Sanity</t>
        </is>
      </c>
    </row>
    <row r="321">
      <c r="A321" s="4" t="n"/>
      <c r="B321" s="4" t="inlineStr">
        <is>
          <t>92 posts still need a real, unique hero image</t>
        </is>
      </c>
      <c r="C321" s="13" t="inlineStr">
        <is>
          <t>Done</t>
        </is>
      </c>
      <c r="D321"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21" s="14" t="inlineStr">
        <is>
          <t>Phase 13 — Images Needed in Sanity</t>
        </is>
      </c>
    </row>
    <row r="322">
      <c r="A322" s="4" t="n"/>
      <c r="B322" s="4" t="inlineStr">
        <is>
          <t>Blog: per-post OG image if different from hero (many posts can reuse hero as OG)</t>
        </is>
      </c>
      <c r="C322" s="13" t="inlineStr">
        <is>
          <t>Done</t>
        </is>
      </c>
      <c r="D322" s="4" t="inlineStr">
        <is>
          <t>Confirmed 2026-10-02: generateMetadata uses seo.ogImage, else the hero, else the default OG image.</t>
        </is>
      </c>
      <c r="E322" s="14" t="inlineStr">
        <is>
          <t>Phase 13 — Images Needed in Sanity</t>
        </is>
      </c>
    </row>
    <row r="323">
      <c r="A323" s="4" t="n"/>
      <c r="B323" s="4" t="inlineStr">
        <is>
          <t>Marketing pages</t>
        </is>
      </c>
      <c r="C323" s="13" t="inlineStr">
        <is>
          <t>Done</t>
        </is>
      </c>
      <c r="D323"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3" s="14" t="inlineStr">
        <is>
          <t>Phase 13 — Images Needed in Sanity</t>
        </is>
      </c>
    </row>
    <row r="324">
      <c r="A324" s="4" t="n"/>
      <c r="B324" s="4" t="inlineStr">
        <is>
          <t>/akbar essay images</t>
        </is>
      </c>
      <c r="C324" s="13" t="inlineStr">
        <is>
          <t>Done</t>
        </is>
      </c>
      <c r="D324"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4" s="14" t="inlineStr">
        <is>
          <t>Phase 13 — Images Needed in Sanity</t>
        </is>
      </c>
    </row>
    <row r="325">
      <c r="A325" s="4" t="n"/>
      <c r="B325" s="4" t="inlineStr">
        <is>
          <t>Rescued page images wired back in (2026-09-29)</t>
        </is>
      </c>
      <c r="C325" s="13" t="inlineStr">
        <is>
          <t>Done</t>
        </is>
      </c>
      <c r="D325"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5" s="14" t="inlineStr">
        <is>
          <t>Phase 13 — Images Needed in Sanity</t>
        </is>
      </c>
    </row>
    <row r="326">
      <c r="A326" s="4" t="n"/>
      <c r="B326" s="4" t="inlineStr">
        <is>
          <t>BrewSoul: coffee/product images (brewsoul-coffees-expanded.ts likely has image refs</t>
        </is>
      </c>
      <c r="C326" s="13" t="inlineStr">
        <is>
          <t>Done</t>
        </is>
      </c>
      <c r="D326"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6" s="14" t="inlineStr">
        <is>
          <t>Phase 13 — Images Needed in Sanity</t>
        </is>
      </c>
    </row>
    <row r="327">
      <c r="A327" s="4" t="n"/>
      <c r="B327" s="4" t="inlineStr">
        <is>
          <t>65 page images moved off the Manus storage copy into Sanity (2026-10-02)</t>
        </is>
      </c>
      <c r="C327" s="13" t="inlineStr">
        <is>
          <t>Done</t>
        </is>
      </c>
      <c r="D327"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7" s="14" t="inlineStr">
        <is>
          <t>Phase 13 — Images Needed in Sanity</t>
        </is>
      </c>
    </row>
    <row r="328">
      <c r="A328" s="4" t="n"/>
      <c r="B328" s="4" t="inlineStr">
        <is>
          <t>PRI/Kava: medicine reference images (medicine-images.ts), facility images for /facilitator-index</t>
        </is>
      </c>
      <c r="C328" s="13" t="inlineStr">
        <is>
          <t>Done</t>
        </is>
      </c>
      <c r="D328" s="4" t="inlineStr">
        <is>
          <t>2026-10-02: all in Sanity; image counts match live on PRI, Kava, Iboga, Peyote, facilitator pages.</t>
        </is>
      </c>
      <c r="E328" s="14" t="inlineStr">
        <is>
          <t>Phase 13 — Images Needed in Sanity</t>
        </is>
      </c>
    </row>
    <row r="329">
      <c r="A329" s="4" t="n"/>
      <c r="B329" s="4" t="inlineStr">
        <is>
          <t>Manifesto/Attention Theft: any diagram/illustration assets used on the mega-page</t>
        </is>
      </c>
      <c r="C329" s="13" t="inlineStr">
        <is>
          <t>Done</t>
        </is>
      </c>
      <c r="D329" s="4" t="inlineStr">
        <is>
          <t>2026-10-02: 6 of live's 7 are in (now in Sanity); the 7th belongs to the Wall of Shame section left out on purpose.</t>
        </is>
      </c>
      <c r="E329" s="14" t="inlineStr">
        <is>
          <t>Phase 13 — Images Needed in Sanity</t>
        </is>
      </c>
    </row>
    <row r="330">
      <c r="A330" s="4" t="n"/>
      <c r="B330" s="4" t="inlineStr">
        <is>
          <t>Assessment result-screen background art (flagged in STATUS.md as a known gap</t>
        </is>
      </c>
      <c r="C330" s="13" t="inlineStr">
        <is>
          <t>Done</t>
        </is>
      </c>
      <c r="D330"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30" s="14" t="inlineStr">
        <is>
          <t>Phase 13 — Images Needed in Sanity</t>
        </is>
      </c>
    </row>
    <row r="331">
      <c r="A331" s="4" t="n"/>
      <c r="B331" s="4" t="inlineStr">
        <is>
          <t>Chatbot: FauxTony avatar/icon</t>
        </is>
      </c>
      <c r="C331" s="13" t="inlineStr">
        <is>
          <t>Done</t>
        </is>
      </c>
      <c r="D331" s="4" t="inlineStr">
        <is>
          <t>Not needed (2026-10-02): the chatbot phase (Phase 10) was cancelled.</t>
        </is>
      </c>
      <c r="E331" s="14" t="inlineStr">
        <is>
          <t>Phase 13 — Images Needed in Sanity</t>
        </is>
      </c>
    </row>
    <row r="332">
      <c r="A332" s="4" t="n"/>
      <c r="B332" s="4" t="inlineStr">
        <is>
          <t>Audit client/public/ (including alex-azzi/, brewsoul/ subfolders) for any static assets already sitting there unused that should be pulled i…</t>
        </is>
      </c>
      <c r="C332" s="13" t="inlineStr">
        <is>
          <t>Done</t>
        </is>
      </c>
      <c r="D332"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2" s="14" t="inlineStr">
        <is>
          <t>Phase 13 — Images Needed in Sanity</t>
        </is>
      </c>
    </row>
    <row r="333">
      <c r="A333" s="10" t="inlineStr">
        <is>
          <t>Phase 14 — QA &amp; Launch</t>
        </is>
      </c>
      <c r="B333" s="11" t="n"/>
      <c r="C333" s="11" t="n"/>
      <c r="D333" s="12" t="n"/>
    </row>
    <row r="334">
      <c r="A334" s="4" t="n"/>
      <c r="B334" s="4" t="inlineStr">
        <is>
          <t>Mobile responsive pass on every ported section</t>
        </is>
      </c>
      <c r="C334" s="13" t="inlineStr">
        <is>
          <t>Done</t>
        </is>
      </c>
      <c r="D334"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4" s="14" t="inlineStr">
        <is>
          <t>Phase 14 — QA &amp; Launch</t>
        </is>
      </c>
    </row>
    <row r="335">
      <c r="A335" s="4" t="n"/>
      <c r="B335" s="4" t="inlineStr">
        <is>
          <t>Accessibility pass (WCAG AA contrast, 44px touch targets, keyboard nav)</t>
        </is>
      </c>
      <c r="C335" s="13" t="inlineStr">
        <is>
          <t>Done</t>
        </is>
      </c>
      <c r="D335"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5" s="14" t="inlineStr">
        <is>
          <t>Phase 14 — QA &amp; Launch</t>
        </is>
      </c>
    </row>
    <row r="336">
      <c r="A336" s="4" t="n"/>
      <c r="B336" s="4" t="inlineStr">
        <is>
          <t>No dead-end pages (every page links to 2+ others)</t>
        </is>
      </c>
      <c r="C336" s="13" t="inlineStr">
        <is>
          <t>Done</t>
        </is>
      </c>
      <c r="D336"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6" s="14" t="inlineStr">
        <is>
          <t>Phase 14 — QA &amp; Launch</t>
        </is>
      </c>
    </row>
    <row r="337">
      <c r="A337" s="4" t="n"/>
      <c r="B337" s="4" t="inlineStr">
        <is>
          <t>Cross-browser check (Safari iOS in particular, per legacy performance notes) 2026-10-06 WebKit pass (Playwright WebKit, iPhone 13 profile, 1…</t>
        </is>
      </c>
      <c r="C337" s="13" t="inlineStr">
        <is>
          <t>Done</t>
        </is>
      </c>
      <c r="D337"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7" s="14" t="inlineStr">
        <is>
          <t>Phase 14 — QA &amp; Launch</t>
        </is>
      </c>
    </row>
    <row r="338">
      <c r="A338" s="4" t="n"/>
      <c r="B338" s="4" t="inlineStr">
        <is>
          <t>Remove noindex only when sign-off is given</t>
        </is>
      </c>
      <c r="C338" s="13" t="inlineStr">
        <is>
          <t>Done</t>
        </is>
      </c>
      <c r="D338"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8" s="14" t="inlineStr">
        <is>
          <t>Phase 14 — QA &amp; Launch</t>
        </is>
      </c>
    </row>
    <row r="339">
      <c r="A339" s="4" t="n"/>
      <c r="B339" s="4" t="inlineStr">
        <is>
          <t>Final stakeholder sign-off (Tony/Darryl/Kimberly) on the ported site before DNS cutover Given 2026-10-13 by the webmaster (web.master@rampra…</t>
        </is>
      </c>
      <c r="C339" s="13" t="inlineStr">
        <is>
          <t>Done</t>
        </is>
      </c>
      <c r="D339" s="4" t="inlineStr">
        <is>
          <t>te.com) in a Claude Code session, answering "Tony's team sign-off, then turning on Google indexing" with yes. If Tony, Darryl or Kimberly haven't seen the Netlify copy themselves, get their yes before the DNS switch.</t>
        </is>
      </c>
      <c r="E339" s="14" t="inlineStr">
        <is>
          <t>Phase 14 — QA &amp; Launch</t>
        </is>
      </c>
    </row>
    <row r="340">
      <c r="A340" s="4" t="n"/>
      <c r="B340" s="4" t="inlineStr">
        <is>
          <t>Privacy Policy page (/privacy) + footer link</t>
        </is>
      </c>
      <c r="C340" s="13" t="inlineStr">
        <is>
          <t>Done</t>
        </is>
      </c>
      <c r="D340" s="4" t="inlineStr">
        <is>
          <t>(team review 2026-10-14; owner: "create any page that isn't there"). Neither live nor the old app has one, so it's a new page. Wording drafted from what the code really does: newsletter (Kit), member accounts, quiz results (sexuality/religion save only "finished"), comments/reactions/highlights, the site's forms (Supabase, emailed to Tony via Resend), supplier intake to RampRate, Google Analytics, the sign-in, tg_visit_count and visitor-session cookies, browser storage. Contact for requests: t@ramprate.com (the footer's address). Josh (legal) to review the wording before launch.</t>
        </is>
      </c>
      <c r="E340" s="14" t="inlineStr">
        <is>
          <t>Phase 14 — QA &amp; Launch</t>
        </is>
      </c>
    </row>
    <row r="341">
      <c r="A341" s="4" t="n"/>
      <c r="B341" s="4" t="inlineStr">
        <is>
          <t>Terms of Use page (/terms) + footer link</t>
        </is>
      </c>
      <c r="C341" s="13" t="inlineStr">
        <is>
          <t>Done</t>
        </is>
      </c>
      <c r="D341" s="4" t="inlineStr">
        <is>
          <t>(team review 2026-10-14). Not-medical-advice (peptides, diet, therapy, kava, psychedelics, ibogaine) and not-investment-advice (waitlists are not offers) sections, ownership matching the footer notice, user content, liability, California law. /terms was one of the intentional 404s; now a real page (ROUTES-INVENTORY.md updated). Josh (legal) to review before launch.</t>
        </is>
      </c>
      <c r="E341" s="14" t="inlineStr">
        <is>
          <t>Phase 14 — QA &amp; Launch</t>
        </is>
      </c>
    </row>
    <row r="342">
      <c r="A342" s="4" t="n"/>
      <c r="B342" s="4" t="inlineStr">
        <is>
          <t>Contact page (/contact) + footer link</t>
        </is>
      </c>
      <c r="C342" s="13" t="inlineStr">
        <is>
          <t>Done</t>
        </is>
      </c>
      <c r="D342" s="4" t="inlineStr">
        <is>
          <t>(team review 2026-10-14). Gathers details already on the site: email t@ramprate.com (now also a clickable link in the footer, where it was plain text), booking link, the Engagement Audit (/pick-up-the-phone), RampRate supplier intake, Santa Monica, X and LinkedIn. No form (none needed: every option already exists). Checked 2026-10-14 for all three: type check, lint, Manus grep, build (all ○ static), fresh server: 200, one H1, title, canonical, share image, in the sitemap and Ask Tony search, footer links on every page; browser at 375/820/1280 light and 375/1280 dark: no sideways scroll, no JS errors.</t>
        </is>
      </c>
      <c r="E342" s="14" t="inlineStr">
        <is>
          <t>Phase 14 — QA &amp; Launch</t>
        </is>
      </c>
    </row>
    <row r="343">
      <c r="A343" s="4" t="n"/>
      <c r="B343" s="4" t="inlineStr">
        <is>
          <t>Essay counts match</t>
        </is>
      </c>
      <c r="C343" s="13" t="inlineStr">
        <is>
          <t>Done</t>
        </is>
      </c>
      <c r="D343" s="4" t="inlineStr">
        <is>
          <t>(team review 2026-10-14). Ask Tony's Blog entry said "92 essays" (copied from the old app), the homepage Read card "118", /subscribe and /the-letter's Read card "121", while the homepage and /search count 123 from Sanity. All now use Sanity's count ({count} in home-doors.ts and /the-letter's doors, /subscribe fetches it). Ask Tony (owner: show the number): the root layout fetches the count and passes it to SiteHeader → SearchModal; withEssayCount() in search-directory.ts fills {count} for Ask Tony, /search and /the-index too. Checked in a browser: Ask Tony shows "123 essays spanning 15 years", build still 150 static / 28 dynamic pages as before. Left alone: /living-declaration's "QPR Index scores intellectual rigor across 91 essays" (a claim about that tool, Tony's copy). Checked 2026-10-14: type check, lint, build (/, /subscribe, /the-letter still static), fresh server: all three show 123, no "92 essays" in the built browser code.</t>
        </is>
      </c>
      <c r="E343" s="14" t="inlineStr">
        <is>
          <t>Phase 14 — QA &amp; Launch</t>
        </is>
      </c>
    </row>
    <row r="344">
      <c r="A344" s="4" t="n"/>
      <c r="B344" s="4" t="inlineStr">
        <is>
          <t>Team review's "everything else looks fine" re-checked</t>
        </is>
      </c>
      <c r="C344" s="13" t="inlineStr">
        <is>
          <t>Done</t>
        </is>
      </c>
      <c r="D344" s="4" t="inlineStr">
        <is>
          <t>(2026-10-14, owner: "you can check"). Fresh production build: all 60 menu pages (main menu, Fix Myself, Explore...) at 1280px and 375px: 200, one H1, no sideways scroll, no JS errors. All 130 blog links on them (122 posts, 8 categories): 200, no redirects. 404 page: 404 for a missing page, essay and category. Dark mode: switches and stays on across pages; 10 essays checked on a phone in dark mode. Phone menu shows every section; Ask Tony works on a phone. Netlify test site: the same 60 menu pages answer. Two small fixes: a missing essay or category showed the homepage's tab title on its 404 page (now "Page not found"); three Explore links (/attention-theft/weapons, /report, /legal) went through a redirect, now link straight to /attention-theft#weapons etc. Checked: type check, lint, build, clicked "Legal Database" in the menu.</t>
        </is>
      </c>
      <c r="E344" s="14" t="inlineStr">
        <is>
          <t>Phase 14 — QA &amp; Launch</t>
        </is>
      </c>
    </row>
    <row r="345">
      <c r="A345" s="4" t="n"/>
      <c r="B345" s="4" t="inlineStr">
        <is>
          <t>Automated tests for every file (2026-10-16, owner</t>
        </is>
      </c>
      <c r="C345" s="13" t="inlineStr">
        <is>
          <t>Done</t>
        </is>
      </c>
      <c r="D345" s="4" t="inlineStr">
        <is>
          <t>"write a test case for the full project</t>
        </is>
      </c>
      <c r="E345" s="14" t="inlineStr">
        <is>
          <t>Phase 14 — QA &amp; Launch</t>
        </is>
      </c>
    </row>
    <row r="346">
      <c r="A346" s="4" t="n"/>
      <c r="B346" s="4" t="inlineStr">
        <is>
          <t>Security: two holes found by the tests (2026-10-16), fix before launch</t>
        </is>
      </c>
      <c r="C346" s="16" t="inlineStr">
        <is>
          <t>Remaining</t>
        </is>
      </c>
      <c r="D346" s="4" t="inlineStr">
        <is>
          <t>(1)</t>
        </is>
      </c>
      <c r="E346" s="14" t="inlineStr">
        <is>
          <t>Phase 14 — QA &amp; Launch</t>
        </is>
      </c>
    </row>
    <row r="347">
      <c r="A347" s="4" t="n"/>
      <c r="B347" s="4" t="inlineStr">
        <is>
          <t>PRI results: safety and scoring (2026-10-16), needs a yes</t>
        </is>
      </c>
      <c r="C347" s="16" t="inlineStr">
        <is>
          <t>Remaining</t>
        </is>
      </c>
      <c r="D347" s="4" t="inlineStr">
        <is>
          <t>src/lib/content/pri-shared.ts:</t>
        </is>
      </c>
      <c r="E347" s="14" t="inlineStr">
        <is>
          <t>Phase 14 — QA &amp; Launch</t>
        </is>
      </c>
    </row>
    <row r="348">
      <c r="A348" s="4" t="n"/>
      <c r="B348" s="4" t="inlineStr">
        <is>
          <t>Quiz results that come out wrong (2026-10-16), copied from live, needs the owner's</t>
        </is>
      </c>
      <c r="C348" s="16" t="inlineStr">
        <is>
          <t>Remaining</t>
        </is>
      </c>
      <c r="D348" s="4" t="inlineStr"/>
      <c r="E348" s="14" t="inlineStr">
        <is>
          <t>Phase 14 — QA &amp; Launch</t>
        </is>
      </c>
    </row>
    <row r="349">
      <c r="A349" s="4" t="n"/>
      <c r="B349" s="4" t="inlineStr">
        <is>
          <t>Wrong or broken information (2026-10-16)</t>
        </is>
      </c>
      <c r="C349" s="16" t="inlineStr">
        <is>
          <t>Remaining</t>
        </is>
      </c>
      <c r="D349" s="4" t="inlineStr">
        <is>
          <t>BrewSoul "My Collection" links to</t>
        </is>
      </c>
      <c r="E349" s="14" t="inlineStr">
        <is>
          <t>Phase 14 — QA &amp; Launch</t>
        </is>
      </c>
    </row>
    <row r="350">
      <c r="A350" s="4" t="n"/>
      <c r="B350" s="4" t="inlineStr">
        <is>
          <t>Content Google can't see, and missing tags (2026-10-16)</t>
        </is>
      </c>
      <c r="C350" s="16" t="inlineStr">
        <is>
          <t>Remaining</t>
        </is>
      </c>
      <c r="D350" s="4" t="inlineStr">
        <is>
          <t>Only shown after a click, so not</t>
        </is>
      </c>
      <c r="E350" s="14" t="inlineStr">
        <is>
          <t>Phase 14 — QA &amp; Launch</t>
        </is>
      </c>
    </row>
    <row r="351">
      <c r="A351" s="4" t="n"/>
      <c r="B351" s="4" t="inlineStr">
        <is>
          <t>Keyboard and screen-reader fixes (2026-10-16)</t>
        </is>
      </c>
      <c r="C351" s="16" t="inlineStr">
        <is>
          <t>Remaining</t>
        </is>
      </c>
      <c r="D351" s="4" t="inlineStr">
        <is>
          <t>Clickable &lt;div&gt;s with no button</t>
        </is>
      </c>
      <c r="E351" s="14" t="inlineStr">
        <is>
          <t>Phase 14 — QA &amp; Launch</t>
        </is>
      </c>
    </row>
    <row r="352">
      <c r="A352" s="4" t="n"/>
      <c r="B352" s="4" t="inlineStr">
        <is>
          <t>Find Your Me essay links (2026-10-16, owner: "you can start")</t>
        </is>
      </c>
      <c r="C352" s="13" t="inlineStr">
        <is>
          <t>Done</t>
        </is>
      </c>
      <c r="D352" s="4" t="inlineStr">
        <is>
          <t>Checked all 17 against</t>
        </is>
      </c>
      <c r="E352" s="14" t="inlineStr">
        <is>
          <t>Phase 14 — QA &amp; Launch</t>
        </is>
      </c>
    </row>
    <row r="353">
      <c r="A353" s="4" t="n"/>
      <c r="B353" s="4" t="inlineStr">
        <is>
          <t>Find Your Me: pick real essays for two results (2026-10-16), needs Tony</t>
        </is>
      </c>
      <c r="C353" s="16" t="inlineStr">
        <is>
          <t>Remaining</t>
        </is>
      </c>
      <c r="D353" s="4" t="inlineStr">
        <is>
          <t>The Systems</t>
        </is>
      </c>
      <c r="E353" s="14" t="inlineStr">
        <is>
          <t>Phase 14 — QA &amp; Launch</t>
        </is>
      </c>
    </row>
    <row r="354">
      <c r="A354" s="4" t="n"/>
      <c r="B354" s="4" t="inlineStr">
        <is>
          <t>DNS cutover, legacy app decommissioned only after a stable overlap window Re-checked 2026-10-13</t>
        </is>
      </c>
      <c r="C354" s="16" t="inlineStr">
        <is>
          <t>Remaining</t>
        </is>
      </c>
      <c r="D354"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54" s="14" t="inlineStr">
        <is>
          <t>Phase 14 — QA &amp; Launch</t>
        </is>
      </c>
    </row>
  </sheetData>
  <autoFilter ref="A1:D354"/>
  <mergeCells count="14">
    <mergeCell ref="A245:D245"/>
    <mergeCell ref="A158:D158"/>
    <mergeCell ref="A333:D333"/>
    <mergeCell ref="A313:D313"/>
    <mergeCell ref="A15:D15"/>
    <mergeCell ref="A64:D64"/>
    <mergeCell ref="A213:D213"/>
    <mergeCell ref="A266:D266"/>
    <mergeCell ref="A2:D2"/>
    <mergeCell ref="A49:D49"/>
    <mergeCell ref="A129:D129"/>
    <mergeCell ref="A191:D191"/>
    <mergeCell ref="A32:D32"/>
    <mergeCell ref="A217:D2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Security: two holes found by the tests (2026-10-16), fix before launch</t>
        </is>
      </c>
      <c r="C11" s="16" t="inlineStr">
        <is>
          <t>Remaining</t>
        </is>
      </c>
      <c r="D11" s="4" t="inlineStr">
        <is>
          <t>(1)</t>
        </is>
      </c>
      <c r="E11" s="14" t="inlineStr">
        <is>
          <t>Phase 14 — QA &amp; Launch</t>
        </is>
      </c>
    </row>
    <row r="12">
      <c r="A12" s="4" t="n"/>
      <c r="B12" s="4" t="inlineStr">
        <is>
          <t>PRI results: safety and scoring (2026-10-16), needs a yes</t>
        </is>
      </c>
      <c r="C12" s="16" t="inlineStr">
        <is>
          <t>Remaining</t>
        </is>
      </c>
      <c r="D12" s="4" t="inlineStr">
        <is>
          <t>src/lib/content/pri-shared.ts:</t>
        </is>
      </c>
      <c r="E12" s="14" t="inlineStr">
        <is>
          <t>Phase 14 — QA &amp; Launch</t>
        </is>
      </c>
    </row>
    <row r="13">
      <c r="A13" s="4" t="n"/>
      <c r="B13" s="4" t="inlineStr">
        <is>
          <t>Quiz results that come out wrong (2026-10-16), copied from live, needs the owner's</t>
        </is>
      </c>
      <c r="C13" s="16" t="inlineStr">
        <is>
          <t>Remaining</t>
        </is>
      </c>
      <c r="D13" s="4" t="inlineStr"/>
      <c r="E13" s="14" t="inlineStr">
        <is>
          <t>Phase 14 — QA &amp; Launch</t>
        </is>
      </c>
    </row>
    <row r="14">
      <c r="A14" s="4" t="n"/>
      <c r="B14" s="4" t="inlineStr">
        <is>
          <t>Wrong or broken information (2026-10-16)</t>
        </is>
      </c>
      <c r="C14" s="16" t="inlineStr">
        <is>
          <t>Remaining</t>
        </is>
      </c>
      <c r="D14" s="4" t="inlineStr">
        <is>
          <t>BrewSoul "My Collection" links to</t>
        </is>
      </c>
      <c r="E14" s="14" t="inlineStr">
        <is>
          <t>Phase 14 — QA &amp; Launch</t>
        </is>
      </c>
    </row>
    <row r="15">
      <c r="A15" s="4" t="n"/>
      <c r="B15" s="4" t="inlineStr">
        <is>
          <t>Content Google can't see, and missing tags (2026-10-16)</t>
        </is>
      </c>
      <c r="C15" s="16" t="inlineStr">
        <is>
          <t>Remaining</t>
        </is>
      </c>
      <c r="D15" s="4" t="inlineStr">
        <is>
          <t>Only shown after a click, so not</t>
        </is>
      </c>
      <c r="E15" s="14" t="inlineStr">
        <is>
          <t>Phase 14 — QA &amp; Launch</t>
        </is>
      </c>
    </row>
    <row r="16">
      <c r="A16" s="4" t="n"/>
      <c r="B16" s="4" t="inlineStr">
        <is>
          <t>Keyboard and screen-reader fixes (2026-10-16)</t>
        </is>
      </c>
      <c r="C16" s="16" t="inlineStr">
        <is>
          <t>Remaining</t>
        </is>
      </c>
      <c r="D16" s="4" t="inlineStr">
        <is>
          <t>Clickable &lt;div&gt;s with no button</t>
        </is>
      </c>
      <c r="E16" s="14" t="inlineStr">
        <is>
          <t>Phase 14 — QA &amp; Launch</t>
        </is>
      </c>
    </row>
    <row r="17">
      <c r="A17" s="4" t="n"/>
      <c r="B17" s="4" t="inlineStr">
        <is>
          <t>Find Your Me: pick real essays for two results (2026-10-16), needs Tony</t>
        </is>
      </c>
      <c r="C17" s="16" t="inlineStr">
        <is>
          <t>Remaining</t>
        </is>
      </c>
      <c r="D17" s="4" t="inlineStr">
        <is>
          <t>The Systems</t>
        </is>
      </c>
      <c r="E17" s="14" t="inlineStr">
        <is>
          <t>Phase 14 — QA &amp; Launch</t>
        </is>
      </c>
    </row>
    <row r="18">
      <c r="A18" s="4" t="n"/>
      <c r="B18" s="4" t="inlineStr">
        <is>
          <t>DNS cutover, legacy app decommissioned only after a stable overlap window Re-checked 2026-10-13</t>
        </is>
      </c>
      <c r="C18" s="16" t="inlineStr">
        <is>
          <t>Remaining</t>
        </is>
      </c>
      <c r="D18"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8" s="14" t="inlineStr">
        <is>
          <t>Phase 14 — QA &amp; Launch</t>
        </is>
      </c>
    </row>
  </sheetData>
  <autoFilter ref="A1:D18"/>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2026-10-15T20:56:52Z</dcterms:created>
  <dcterms:modified xsi:type="dcterms:W3CDTF">2026-10-15T20:56:52Z</dcterms:modified>
</cp:coreProperties>
</file>