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Detail'!$A$1:$D$326</definedName>
    <definedName name="_xlnm._FilterDatabase" localSheetId="2" hidden="1">'Remaining Work'!$A$1:$D$28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Detail'!$E$2:$E$326,$A5,'Full Detail'!$C$2:$C$326,"Done")</f>
        <v/>
      </c>
      <c r="C5" s="5">
        <f>COUNTIFS('Full Detail'!$E$2:$E$326,$A5,'Full Detail'!$C$2:$C$326,"Remaining")</f>
        <v/>
      </c>
      <c r="D5" s="5">
        <f>COUNTIFS('Full Detail'!$E$2:$E$326,$A5,'Full Detail'!$C$2:$C$326,"Deferred")</f>
        <v/>
      </c>
      <c r="E5" s="5">
        <f>SUM(B5:D5)</f>
        <v/>
      </c>
      <c r="F5" s="6">
        <f>IF(E5=0,0,B5/E5)</f>
        <v/>
      </c>
    </row>
    <row r="6">
      <c r="A6" s="4" t="inlineStr">
        <is>
          <t>Phase 1 — Sanity Studio &amp; Schema</t>
        </is>
      </c>
      <c r="B6" s="5">
        <f>COUNTIFS('Full Detail'!$E$2:$E$326,$A6,'Full Detail'!$C$2:$C$326,"Done")</f>
        <v/>
      </c>
      <c r="C6" s="5">
        <f>COUNTIFS('Full Detail'!$E$2:$E$326,$A6,'Full Detail'!$C$2:$C$326,"Remaining")</f>
        <v/>
      </c>
      <c r="D6" s="5">
        <f>COUNTIFS('Full Detail'!$E$2:$E$326,$A6,'Full Detail'!$C$2:$C$326,"Deferred")</f>
        <v/>
      </c>
      <c r="E6" s="5">
        <f>SUM(B6:D6)</f>
        <v/>
      </c>
      <c r="F6" s="6">
        <f>IF(E6=0,0,B6/E6)</f>
        <v/>
      </c>
    </row>
    <row r="7">
      <c r="A7" s="4" t="inlineStr">
        <is>
          <t>Phase 2 — Supabase</t>
        </is>
      </c>
      <c r="B7" s="5">
        <f>COUNTIFS('Full Detail'!$E$2:$E$326,$A7,'Full Detail'!$C$2:$C$326,"Done")</f>
        <v/>
      </c>
      <c r="C7" s="5">
        <f>COUNTIFS('Full Detail'!$E$2:$E$326,$A7,'Full Detail'!$C$2:$C$326,"Remaining")</f>
        <v/>
      </c>
      <c r="D7" s="5">
        <f>COUNTIFS('Full Detail'!$E$2:$E$326,$A7,'Full Detail'!$C$2:$C$326,"Deferred")</f>
        <v/>
      </c>
      <c r="E7" s="5">
        <f>SUM(B7:D7)</f>
        <v/>
      </c>
      <c r="F7" s="6">
        <f>IF(E7=0,0,B7/E7)</f>
        <v/>
      </c>
    </row>
    <row r="8">
      <c r="A8" s="4" t="inlineStr">
        <is>
          <t>Phase 3 — Shared Layout &amp; Design System</t>
        </is>
      </c>
      <c r="B8" s="5">
        <f>COUNTIFS('Full Detail'!$E$2:$E$326,$A8,'Full Detail'!$C$2:$C$326,"Done")</f>
        <v/>
      </c>
      <c r="C8" s="5">
        <f>COUNTIFS('Full Detail'!$E$2:$E$326,$A8,'Full Detail'!$C$2:$C$326,"Remaining")</f>
        <v/>
      </c>
      <c r="D8" s="5">
        <f>COUNTIFS('Full Detail'!$E$2:$E$326,$A8,'Full Detail'!$C$2:$C$326,"Deferred")</f>
        <v/>
      </c>
      <c r="E8" s="5">
        <f>SUM(B8:D8)</f>
        <v/>
      </c>
      <c r="F8" s="6">
        <f>IF(E8=0,0,B8/E8)</f>
        <v/>
      </c>
    </row>
    <row r="9">
      <c r="A9" s="4" t="inlineStr">
        <is>
          <t>Phase 4 — Marketing Core Pages (30 routes)</t>
        </is>
      </c>
      <c r="B9" s="5">
        <f>COUNTIFS('Full Detail'!$E$2:$E$326,$A9,'Full Detail'!$C$2:$C$326,"Done")</f>
        <v/>
      </c>
      <c r="C9" s="5">
        <f>COUNTIFS('Full Detail'!$E$2:$E$326,$A9,'Full Detail'!$C$2:$C$326,"Remaining")</f>
        <v/>
      </c>
      <c r="D9" s="5">
        <f>COUNTIFS('Full Detail'!$E$2:$E$326,$A9,'Full Detail'!$C$2:$C$326,"Deferred")</f>
        <v/>
      </c>
      <c r="E9" s="5">
        <f>SUM(B9:D9)</f>
        <v/>
      </c>
      <c r="F9" s="6">
        <f>IF(E9=0,0,B9/E9)</f>
        <v/>
      </c>
    </row>
    <row r="10">
      <c r="A10" s="4" t="inlineStr">
        <is>
          <t>Phase 5 — Blog Engine (Sanity-backed)</t>
        </is>
      </c>
      <c r="B10" s="5">
        <f>COUNTIFS('Full Detail'!$E$2:$E$326,$A10,'Full Detail'!$C$2:$C$326,"Done")</f>
        <v/>
      </c>
      <c r="C10" s="5">
        <f>COUNTIFS('Full Detail'!$E$2:$E$326,$A10,'Full Detail'!$C$2:$C$326,"Remaining")</f>
        <v/>
      </c>
      <c r="D10" s="5">
        <f>COUNTIFS('Full Detail'!$E$2:$E$326,$A10,'Full Detail'!$C$2:$C$326,"Deferred")</f>
        <v/>
      </c>
      <c r="E10" s="5">
        <f>SUM(B10:D10)</f>
        <v/>
      </c>
      <c r="F10" s="6">
        <f>IF(E10=0,0,B10/E10)</f>
        <v/>
      </c>
    </row>
    <row r="11">
      <c r="A11" s="4" t="inlineStr">
        <is>
          <t>Phase 6 — BrewSoul (28 routes)</t>
        </is>
      </c>
      <c r="B11" s="5">
        <f>COUNTIFS('Full Detail'!$E$2:$E$326,$A11,'Full Detail'!$C$2:$C$326,"Done")</f>
        <v/>
      </c>
      <c r="C11" s="5">
        <f>COUNTIFS('Full Detail'!$E$2:$E$326,$A11,'Full Detail'!$C$2:$C$326,"Remaining")</f>
        <v/>
      </c>
      <c r="D11" s="5">
        <f>COUNTIFS('Full Detail'!$E$2:$E$326,$A11,'Full Detail'!$C$2:$C$326,"Deferred")</f>
        <v/>
      </c>
      <c r="E11" s="5">
        <f>SUM(B11:D11)</f>
        <v/>
      </c>
      <c r="F11" s="6">
        <f>IF(E11=0,0,B11/E11)</f>
        <v/>
      </c>
    </row>
    <row r="12">
      <c r="A12" s="4" t="inlineStr">
        <is>
          <t>Phase 7 — PRI &amp; Kava Encyclopedias (19 routes)</t>
        </is>
      </c>
      <c r="B12" s="5">
        <f>COUNTIFS('Full Detail'!$E$2:$E$326,$A12,'Full Detail'!$C$2:$C$326,"Done")</f>
        <v/>
      </c>
      <c r="C12" s="5">
        <f>COUNTIFS('Full Detail'!$E$2:$E$326,$A12,'Full Detail'!$C$2:$C$326,"Remaining")</f>
        <v/>
      </c>
      <c r="D12" s="5">
        <f>COUNTIFS('Full Detail'!$E$2:$E$326,$A12,'Full Detail'!$C$2:$C$326,"Deferred")</f>
        <v/>
      </c>
      <c r="E12" s="5">
        <f>SUM(B12:D12)</f>
        <v/>
      </c>
      <c r="F12" s="6">
        <f>IF(E12=0,0,B12/E12)</f>
        <v/>
      </c>
    </row>
    <row r="13">
      <c r="A13" s="4" t="inlineStr">
        <is>
          <t>Phase 8 — Attention Theft Manifesto (7 routes)</t>
        </is>
      </c>
      <c r="B13" s="5">
        <f>COUNTIFS('Full Detail'!$E$2:$E$326,$A13,'Full Detail'!$C$2:$C$326,"Done")</f>
        <v/>
      </c>
      <c r="C13" s="5">
        <f>COUNTIFS('Full Detail'!$E$2:$E$326,$A13,'Full Detail'!$C$2:$C$326,"Remaining")</f>
        <v/>
      </c>
      <c r="D13" s="5">
        <f>COUNTIFS('Full Detail'!$E$2:$E$326,$A13,'Full Detail'!$C$2:$C$326,"Deferred")</f>
        <v/>
      </c>
      <c r="E13" s="5">
        <f>SUM(B13:D13)</f>
        <v/>
      </c>
      <c r="F13" s="6">
        <f>IF(E13=0,0,B13/E13)</f>
        <v/>
      </c>
    </row>
    <row r="14">
      <c r="A14" s="4" t="inlineStr">
        <is>
          <t>Phase 9 — Assessments (33 routes)</t>
        </is>
      </c>
      <c r="B14" s="5">
        <f>COUNTIFS('Full Detail'!$E$2:$E$326,$A14,'Full Detail'!$C$2:$C$326,"Done")</f>
        <v/>
      </c>
      <c r="C14" s="5">
        <f>COUNTIFS('Full Detail'!$E$2:$E$326,$A14,'Full Detail'!$C$2:$C$326,"Remaining")</f>
        <v/>
      </c>
      <c r="D14" s="5">
        <f>COUNTIFS('Full Detail'!$E$2:$E$326,$A14,'Full Detail'!$C$2:$C$326,"Deferred")</f>
        <v/>
      </c>
      <c r="E14" s="5">
        <f>SUM(B14:D14)</f>
        <v/>
      </c>
      <c r="F14" s="6">
        <f>IF(E14=0,0,B14/E14)</f>
        <v/>
      </c>
    </row>
    <row r="15">
      <c r="A15" s="4" t="inlineStr">
        <is>
          <t>Phase 10 — FauxTony Chatbot — CANCELLED (2026-09-10)</t>
        </is>
      </c>
      <c r="B15" s="5">
        <f>COUNTIFS('Full Detail'!$E$2:$E$326,$A15,'Full Detail'!$C$2:$C$326,"Done")</f>
        <v/>
      </c>
      <c r="C15" s="5">
        <f>COUNTIFS('Full Detail'!$E$2:$E$326,$A15,'Full Detail'!$C$2:$C$326,"Remaining")</f>
        <v/>
      </c>
      <c r="D15" s="5">
        <f>COUNTIFS('Full Detail'!$E$2:$E$326,$A15,'Full Detail'!$C$2:$C$326,"Deferred")</f>
        <v/>
      </c>
      <c r="E15" s="5">
        <f>SUM(B15:D15)</f>
        <v/>
      </c>
      <c r="F15" s="6">
        <f>IF(E15=0,0,B15/E15)</f>
        <v/>
      </c>
    </row>
    <row r="16">
      <c r="A16" s="4" t="inlineStr">
        <is>
          <t>Phase 11 — Code MCP Server — REBUILT (2026-09-29)</t>
        </is>
      </c>
      <c r="B16" s="5">
        <f>COUNTIFS('Full Detail'!$E$2:$E$326,$A16,'Full Detail'!$C$2:$C$326,"Done")</f>
        <v/>
      </c>
      <c r="C16" s="5">
        <f>COUNTIFS('Full Detail'!$E$2:$E$326,$A16,'Full Detail'!$C$2:$C$326,"Remaining")</f>
        <v/>
      </c>
      <c r="D16" s="5">
        <f>COUNTIFS('Full Detail'!$E$2:$E$326,$A16,'Full Detail'!$C$2:$C$326,"Deferred")</f>
        <v/>
      </c>
      <c r="E16" s="5">
        <f>SUM(B16:D16)</f>
        <v/>
      </c>
      <c r="F16" s="6">
        <f>IF(E16=0,0,B16/E16)</f>
        <v/>
      </c>
    </row>
    <row r="17">
      <c r="A17" s="4" t="inlineStr">
        <is>
          <t>Phase 12 — SEO Hardening, Redirects &amp; Cutover Prep</t>
        </is>
      </c>
      <c r="B17" s="5">
        <f>COUNTIFS('Full Detail'!$E$2:$E$326,$A17,'Full Detail'!$C$2:$C$326,"Done")</f>
        <v/>
      </c>
      <c r="C17" s="5">
        <f>COUNTIFS('Full Detail'!$E$2:$E$326,$A17,'Full Detail'!$C$2:$C$326,"Remaining")</f>
        <v/>
      </c>
      <c r="D17" s="5">
        <f>COUNTIFS('Full Detail'!$E$2:$E$326,$A17,'Full Detail'!$C$2:$C$326,"Deferred")</f>
        <v/>
      </c>
      <c r="E17" s="5">
        <f>SUM(B17:D17)</f>
        <v/>
      </c>
      <c r="F17" s="6">
        <f>IF(E17=0,0,B17/E17)</f>
        <v/>
      </c>
    </row>
    <row r="18">
      <c r="A18" s="4" t="inlineStr">
        <is>
          <t>Phase 13 — Images Needed in Sanity</t>
        </is>
      </c>
      <c r="B18" s="5">
        <f>COUNTIFS('Full Detail'!$E$2:$E$326,$A18,'Full Detail'!$C$2:$C$326,"Done")</f>
        <v/>
      </c>
      <c r="C18" s="5">
        <f>COUNTIFS('Full Detail'!$E$2:$E$326,$A18,'Full Detail'!$C$2:$C$326,"Remaining")</f>
        <v/>
      </c>
      <c r="D18" s="5">
        <f>COUNTIFS('Full Detail'!$E$2:$E$326,$A18,'Full Detail'!$C$2:$C$326,"Deferred")</f>
        <v/>
      </c>
      <c r="E18" s="5">
        <f>SUM(B18:D18)</f>
        <v/>
      </c>
      <c r="F18" s="6">
        <f>IF(E18=0,0,B18/E18)</f>
        <v/>
      </c>
    </row>
    <row r="19">
      <c r="A19" s="4" t="inlineStr">
        <is>
          <t>Phase 14 — QA &amp; Launch</t>
        </is>
      </c>
      <c r="B19" s="5">
        <f>COUNTIFS('Full Detail'!$E$2:$E$326,$A19,'Full Detail'!$C$2:$C$326,"Done")</f>
        <v/>
      </c>
      <c r="C19" s="5">
        <f>COUNTIFS('Full Detail'!$E$2:$E$326,$A19,'Full Detail'!$C$2:$C$326,"Remaining")</f>
        <v/>
      </c>
      <c r="D19" s="5">
        <f>COUNTIFS('Full Detail'!$E$2:$E$326,$A19,'Full Detail'!$C$2:$C$326,"Deferred")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6"/>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4" t="n"/>
      <c r="B256" s="4" t="inlineStr">
        <is>
          <t>Synced with ramprate-ui's MCP server (2026-10-09, owner asked; card included by their choice)</t>
        </is>
      </c>
      <c r="C256" s="13" t="inlineStr">
        <is>
          <t>Done</t>
        </is>
      </c>
      <c r="D256"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6" s="14" t="inlineStr">
        <is>
          <t>Phase 11 — Code MCP Server — REBUILT (2026-09-29)</t>
        </is>
      </c>
    </row>
    <row r="257">
      <c r="A257" s="4" t="n"/>
      <c r="B257" s="4" t="inlineStr">
        <is>
          <t>Test the new review end to end on a deploy preview</t>
        </is>
      </c>
      <c r="C257" s="15" t="inlineStr">
        <is>
          <t>Remaining</t>
        </is>
      </c>
      <c r="D257" s="4" t="inlineStr">
        <is>
          <t>(needs a yes, it opens a real pull request): one throwaway change from Claude.ai or ChatGPT: start (unclear request, so the confirm step shows), confirm, edit, review card, screenshots, upload link, then discard.</t>
        </is>
      </c>
      <c r="E257" s="14" t="inlineStr">
        <is>
          <t>Phase 11 — Code MCP Server — REBUILT (2026-09-29)</t>
        </is>
      </c>
    </row>
    <row r="258">
      <c r="A258" s="10" t="inlineStr">
        <is>
          <t>Phase 12 — SEO Hardening, Redirects &amp; Cutover Prep</t>
        </is>
      </c>
      <c r="B258" s="11" t="n"/>
      <c r="C258" s="11" t="n"/>
      <c r="D258" s="12" t="n"/>
    </row>
    <row r="259">
      <c r="A259" s="4" t="n"/>
      <c r="B259" s="4" t="inlineStr">
        <is>
          <t>Per-page generateMetadata (title, description, OG, Twitter Card, canonical) for every ported route, sourced from Sanity seo object where con…</t>
        </is>
      </c>
      <c r="C259" s="13" t="inlineStr">
        <is>
          <t>Done</t>
        </is>
      </c>
      <c r="D259"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9" s="14" t="inlineStr">
        <is>
          <t>Phase 12 — SEO Hardening, Redirects &amp; Cutover Prep</t>
        </is>
      </c>
    </row>
    <row r="260">
      <c r="A260" s="4" t="n"/>
      <c r="B260" s="4" t="inlineStr">
        <is>
          <t>sitemap.ts generated from real Sanity content + static route list, auto-updates on publish</t>
        </is>
      </c>
      <c r="C260" s="13" t="inlineStr">
        <is>
          <t>Done</t>
        </is>
      </c>
      <c r="D260"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0" s="14" t="inlineStr">
        <is>
          <t>Phase 12 — SEO Hardening, Redirects &amp; Cutover Prep</t>
        </is>
      </c>
    </row>
    <row r="261">
      <c r="A261" s="4" t="n"/>
      <c r="B261" s="4" t="inlineStr">
        <is>
          <t>llms.txt</t>
        </is>
      </c>
      <c r="C261" s="13" t="inlineStr">
        <is>
          <t>Done</t>
        </is>
      </c>
      <c r="D261" s="4" t="inlineStr">
        <is>
          <t>fetched verbatim from the still-live site and saved to web/public/llms.txt (real content: Tony's bio, expertise, full article index by category, every product/tool section) — do this before Manus goes away, it won't be recoverable after</t>
        </is>
      </c>
      <c r="E261" s="14" t="inlineStr">
        <is>
          <t>Phase 12 — SEO Hardening, Redirects &amp; Cutover Prep</t>
        </is>
      </c>
    </row>
    <row r="262">
      <c r="A262" s="4" t="n"/>
      <c r="B262" s="4" t="inlineStr">
        <is>
          <t>robots.txt</t>
        </is>
      </c>
      <c r="C262" s="13" t="inlineStr">
        <is>
          <t>Done</t>
        </is>
      </c>
      <c r="D262"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2" s="14" t="inlineStr">
        <is>
          <t>Phase 12 — SEO Hardening, Redirects &amp; Cutover Prep</t>
        </is>
      </c>
    </row>
    <row r="263">
      <c r="A263" s="4" t="n"/>
      <c r="B263" s="4" t="inlineStr">
        <is>
          <t>JSON-LD</t>
        </is>
      </c>
      <c r="C263" s="13" t="inlineStr">
        <is>
          <t>Done</t>
        </is>
      </c>
      <c r="D263"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3" s="14" t="inlineStr">
        <is>
          <t>Phase 12 — SEO Hardening, Redirects &amp; Cutover Prep</t>
        </is>
      </c>
    </row>
    <row r="264">
      <c r="A264" s="4" t="n"/>
      <c r="B264" s="4" t="inlineStr">
        <is>
          <t>Article JSON-LD on /blog/[slug], built from real per-post Sanity data (headline, image, datePublished/dateModified, author, canonical URL)</t>
        </is>
      </c>
      <c r="C264" s="13" t="inlineStr">
        <is>
          <t>Done</t>
        </is>
      </c>
      <c r="D264" s="4" t="inlineStr">
        <is>
          <t>verified live on a real post</t>
        </is>
      </c>
      <c r="E264" s="14" t="inlineStr">
        <is>
          <t>Phase 12 — SEO Hardening, Redirects &amp; Cutover Prep</t>
        </is>
      </c>
    </row>
    <row r="265">
      <c r="A265" s="4" t="n"/>
      <c r="B265" s="4" t="inlineStr">
        <is>
          <t>Build the full Manus/legacy-URL → Next.js-URL 301 redirect map (next.config.ts redirects() or Sanity redirect documents)</t>
        </is>
      </c>
      <c r="C265" s="13" t="inlineStr">
        <is>
          <t>Done</t>
        </is>
      </c>
      <c r="D265"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5" s="14" t="inlineStr">
        <is>
          <t>Phase 12 — SEO Hardening, Redirects &amp; Cutover Prep</t>
        </is>
      </c>
    </row>
    <row r="266">
      <c r="A266" s="4" t="n"/>
      <c r="B266" s="4" t="inlineStr">
        <is>
          <t>/path/:archetype (src/app/path/[archetype]/page.tsx)</t>
        </is>
      </c>
      <c r="C266" s="13" t="inlineStr">
        <is>
          <t>Done</t>
        </is>
      </c>
      <c r="D266"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6" s="14" t="inlineStr">
        <is>
          <t>Phase 12 — SEO Hardening, Redirects &amp; Cutover Prep</t>
        </is>
      </c>
    </row>
    <row r="267">
      <c r="A267" s="4" t="n"/>
      <c r="B267" s="4" t="inlineStr">
        <is>
          <t>/my-journey (src/app/my-journey/page.tsx + components/assessments/my-journey-dashboard.tsx)</t>
        </is>
      </c>
      <c r="C267" s="13" t="inlineStr">
        <is>
          <t>Done</t>
        </is>
      </c>
      <c r="D267"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7" s="14" t="inlineStr">
        <is>
          <t>Phase 12 — SEO Hardening, Redirects &amp; Cutover Prep</t>
        </is>
      </c>
    </row>
    <row r="268">
      <c r="A268" s="4" t="n"/>
      <c r="B268" s="4" t="inlineStr">
        <is>
          <t>/the-open-door (src/app/the-open-door/page.tsx)</t>
        </is>
      </c>
      <c r="C268" s="13" t="inlineStr">
        <is>
          <t>Done</t>
        </is>
      </c>
      <c r="D268"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8" s="14" t="inlineStr">
        <is>
          <t>Phase 12 — SEO Hardening, Redirects &amp; Cutover Prep</t>
        </is>
      </c>
    </row>
    <row r="269">
      <c r="A269" s="4" t="n"/>
      <c r="B269" s="4" t="inlineStr">
        <is>
          <t>Homepage "Recent Updates" band (2026-09-29)</t>
        </is>
      </c>
      <c r="C269" s="13" t="inlineStr">
        <is>
          <t>Done</t>
        </is>
      </c>
      <c r="D269"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9" s="14" t="inlineStr">
        <is>
          <t>Phase 12 — SEO Hardening, Redirects &amp; Cutover Prep</t>
        </is>
      </c>
    </row>
    <row r="270">
      <c r="A270" s="4" t="n"/>
      <c r="B270" s="4" t="inlineStr">
        <is>
          <t>Re-sync the legacy reference</t>
        </is>
      </c>
      <c r="C270" s="13" t="inlineStr">
        <is>
          <t>Done</t>
        </is>
      </c>
      <c r="D270"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0" s="14" t="inlineStr">
        <is>
          <t>Phase 12 — SEO Hardening, Redirects &amp; Cutover Prep</t>
        </is>
      </c>
    </row>
    <row r="271">
      <c r="A271" s="4" t="n"/>
      <c r="B271" s="4" t="inlineStr">
        <is>
          <t>Visual diff pass: every ported page vs</t>
        </is>
      </c>
      <c r="C271" s="13" t="inlineStr">
        <is>
          <t>Done</t>
        </is>
      </c>
      <c r="D271"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1" s="14" t="inlineStr">
        <is>
          <t>Phase 12 — SEO Hardening, Redirects &amp; Cutover Prep</t>
        </is>
      </c>
    </row>
    <row r="272">
      <c r="A272" s="4" t="n"/>
      <c r="B272" s="4" t="inlineStr">
        <is>
          <t>Padding / spacing on the story pages matched to live (2026-10-01)</t>
        </is>
      </c>
      <c r="C272" s="13" t="inlineStr">
        <is>
          <t>Done</t>
        </is>
      </c>
      <c r="D272"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2" s="14" t="inlineStr">
        <is>
          <t>Phase 12 — SEO Hardening, Redirects &amp; Cutover Prep</t>
        </is>
      </c>
    </row>
    <row r="273">
      <c r="A273" s="4" t="n"/>
      <c r="B273" s="4" t="inlineStr">
        <is>
          <t>Header-to-title spacing re-checked (2026-10-02)</t>
        </is>
      </c>
      <c r="C273" s="13" t="inlineStr">
        <is>
          <t>Done</t>
        </is>
      </c>
      <c r="D273"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3" s="14" t="inlineStr">
        <is>
          <t>Phase 12 — SEO Hardening, Redirects &amp; Cutover Prep</t>
        </is>
      </c>
    </row>
    <row r="274">
      <c r="A274" s="4" t="n"/>
      <c r="B274" s="4" t="inlineStr">
        <is>
          <t>HumanOS headings in capitals like live (2026-10-02, owner said yes)</t>
        </is>
      </c>
      <c r="C274" s="13" t="inlineStr">
        <is>
          <t>Done</t>
        </is>
      </c>
      <c r="D274" s="4" t="inlineStr">
        <is>
          <t>the 4 headings live capitalises on /humanos (title, "Are you a Maximizer...", "Take the Diagnostic", "The Diagnostic") get uppercase; the words are unchanged. The subpages already matched.</t>
        </is>
      </c>
      <c r="E274" s="14" t="inlineStr">
        <is>
          <t>Phase 12 — SEO Hardening, Redirects &amp; Cutover Prep</t>
        </is>
      </c>
    </row>
    <row r="275">
      <c r="A275" s="4" t="n"/>
      <c r="B275" s="4" t="inlineStr">
        <is>
          <t>More layout gaps matched to live (2026-10-02)</t>
        </is>
      </c>
      <c r="C275" s="13" t="inlineStr">
        <is>
          <t>Done</t>
        </is>
      </c>
      <c r="D275"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5" s="14" t="inlineStr">
        <is>
          <t>Phase 12 — SEO Hardening, Redirects &amp; Cutover Prep</t>
        </is>
      </c>
    </row>
    <row r="276">
      <c r="A276" s="4" t="n"/>
      <c r="B276" s="4" t="inlineStr">
        <is>
          <t>Full sweep vs live (2026-10-02)</t>
        </is>
      </c>
      <c r="C276" s="13" t="inlineStr">
        <is>
          <t>Done</t>
        </is>
      </c>
      <c r="D276"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6" s="14" t="inlineStr">
        <is>
          <t>Phase 12 — SEO Hardening, Redirects &amp; Cutover Prep</t>
        </is>
      </c>
    </row>
    <row r="277">
      <c r="A277" s="4" t="n"/>
      <c r="B277" s="4" t="inlineStr">
        <is>
          <t>Sweep leftovers fixed (2026-10-06)</t>
        </is>
      </c>
      <c r="C277" s="13" t="inlineStr">
        <is>
          <t>Done</t>
        </is>
      </c>
      <c r="D277"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7" s="14" t="inlineStr">
        <is>
          <t>Phase 12 — SEO Hardening, Redirects &amp; Cutover Prep</t>
        </is>
      </c>
    </row>
    <row r="278">
      <c r="A278" s="4" t="n"/>
      <c r="B278" s="4" t="inlineStr">
        <is>
          <t>Match live's redesigned pages (2026-10-06, owner said go)</t>
        </is>
      </c>
      <c r="C278" s="13" t="inlineStr">
        <is>
          <t>Done</t>
        </is>
      </c>
      <c r="D278"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8" s="14" t="inlineStr">
        <is>
          <t>Phase 12 — SEO Hardening, Redirects &amp; Cutover Prep</t>
        </is>
      </c>
    </row>
    <row r="279">
      <c r="A279" s="4" t="n"/>
      <c r="B279" s="4" t="inlineStr">
        <is>
          <t>Still different from live (needs a yes)</t>
        </is>
      </c>
      <c r="C279" s="15" t="inlineStr">
        <is>
          <t>Remaining</t>
        </is>
      </c>
      <c r="D279" s="4" t="inlineStr">
        <is>
          <t>blog posts (done) (done 2026-10-07, see Phase 5); /find-my on live hides the site header. /walk-through is a 404 on live now.</t>
        </is>
      </c>
      <c r="E279" s="14" t="inlineStr">
        <is>
          <t>Phase 12 — SEO Hardening, Redirects &amp; Cutover Prep</t>
        </is>
      </c>
    </row>
    <row r="280">
      <c r="A280" s="4" t="n"/>
      <c r="B280" s="4" t="inlineStr">
        <is>
          <t>Design change on live, needs a decision</t>
        </is>
      </c>
      <c r="C280" s="15" t="inlineStr">
        <is>
          <t>Remaining</t>
        </is>
      </c>
      <c r="D280" s="4" t="inlineStr">
        <is>
          <t>live's story pages now use Cormorant Garamond for titles (ours: Playfair Display), a lighter title weight (400 vs our 700), and a red eyebrow label (#8E1E25, wider letter spacing) instead of our gold. A site-wide font swap is a design call, so not done.</t>
        </is>
      </c>
      <c r="E280" s="14" t="inlineStr">
        <is>
          <t>Phase 12 — SEO Hardening, Redirects &amp; Cutover Prep</t>
        </is>
      </c>
    </row>
    <row r="281">
      <c r="A281" s="4" t="n"/>
      <c r="B281" s="4" t="inlineStr">
        <is>
          <t>Link check across all ported pages (no 404s, no broken internal cross-references)</t>
        </is>
      </c>
      <c r="C281" s="13" t="inlineStr">
        <is>
          <t>Done</t>
        </is>
      </c>
      <c r="D281"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1" s="14" t="inlineStr">
        <is>
          <t>Phase 12 — SEO Hardening, Redirects &amp; Cutover Prep</t>
        </is>
      </c>
    </row>
    <row r="282">
      <c r="A282" s="4" t="n"/>
      <c r="B282" s="4" t="inlineStr">
        <is>
          <t>Sitemap: no noindex pages (2026-10-08)</t>
        </is>
      </c>
      <c r="C282" s="13" t="inlineStr">
        <is>
          <t>Done</t>
        </is>
      </c>
      <c r="D282"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2" s="14" t="inlineStr">
        <is>
          <t>Phase 12 — SEO Hardening, Redirects &amp; Cutover Prep</t>
        </is>
      </c>
    </row>
    <row r="283">
      <c r="A283" s="4" t="n"/>
      <c r="B283" s="4" t="inlineStr">
        <is>
          <t>Lighthouse pass (performance/accessibility/SEO) on top 20 pages by traffic 2026-09-30, 20 key pages (no traffic data yet), local production …</t>
        </is>
      </c>
      <c r="C283" s="15" t="inlineStr">
        <is>
          <t>Remaining</t>
        </is>
      </c>
      <c r="D28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3" s="14" t="inlineStr">
        <is>
          <t>Phase 12 — SEO Hardening, Redirects &amp; Cutover Prep</t>
        </is>
      </c>
    </row>
    <row r="284">
      <c r="A284" s="4" t="n"/>
      <c r="B284" s="4" t="inlineStr">
        <is>
          <t>Error pages (2026-10-09, owner asked)</t>
        </is>
      </c>
      <c r="C284" s="13" t="inlineStr">
        <is>
          <t>Done</t>
        </is>
      </c>
      <c r="D28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4" s="14" t="inlineStr">
        <is>
          <t>Phase 12 — SEO Hardening, Redirects &amp; Cutover Prep</t>
        </is>
      </c>
    </row>
    <row r="285">
      <c r="A285" s="4" t="n"/>
      <c r="B285" s="4" t="inlineStr">
        <is>
          <t>SEO audit fixes (2026-10-06)</t>
        </is>
      </c>
      <c r="C285" s="13" t="inlineStr">
        <is>
          <t>Done</t>
        </is>
      </c>
      <c r="D28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5" s="14" t="inlineStr">
        <is>
          <t>Phase 12 — SEO Hardening, Redirects &amp; Cutover Prep</t>
        </is>
      </c>
    </row>
    <row r="286">
      <c r="A286" s="4" t="n"/>
      <c r="B286" s="4" t="inlineStr">
        <is>
          <t>SEO audit items needing a yes (2026-10-06)</t>
        </is>
      </c>
      <c r="C286" s="15" t="inlineStr">
        <is>
          <t>Remaining</t>
        </is>
      </c>
      <c r="D286"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86" s="14" t="inlineStr">
        <is>
          <t>Phase 12 — SEO Hardening, Redirects &amp; Cutover Prep</t>
        </is>
      </c>
    </row>
    <row r="287">
      <c r="A287" s="4" t="n"/>
      <c r="B287" s="4" t="inlineStr">
        <is>
          <t>Connect Google Search Console + GA4 to the new deployment on day one of cutover</t>
        </is>
      </c>
      <c r="C287" s="15" t="inlineStr">
        <is>
          <t>Remaining</t>
        </is>
      </c>
      <c r="D287" s="4" t="inlineStr"/>
      <c r="E287" s="14" t="inlineStr">
        <is>
          <t>Phase 12 — SEO Hardening, Redirects &amp; Cutover Prep</t>
        </is>
      </c>
    </row>
    <row r="288">
      <c r="A288" s="4" t="n"/>
      <c r="B288" s="4" t="inlineStr">
        <is>
          <t>Restore/adapt the manus.space triple-layer noindex lockdown pattern for any remaining staging URLs</t>
        </is>
      </c>
      <c r="C288" s="13" t="inlineStr">
        <is>
          <t>Done</t>
        </is>
      </c>
      <c r="D288"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88" s="14" t="inlineStr">
        <is>
          <t>Phase 12 — SEO Hardening, Redirects &amp; Cutover Prep</t>
        </is>
      </c>
    </row>
    <row r="289">
      <c r="A289" s="4" t="n"/>
      <c r="B289" s="4" t="inlineStr">
        <is>
          <t>"Keep going" strip above the footer on every page (2026-10-07)</t>
        </is>
      </c>
      <c r="C289" s="13" t="inlineStr">
        <is>
          <t>Done</t>
        </is>
      </c>
      <c r="D289" s="4" t="inlineStr">
        <is>
          <t>legacy's WhereNext (deferred in Phase 3, never picked up) with its per-page suggestions, Home · Site Index · All Assessments; links pointed at current routes.</t>
        </is>
      </c>
      <c r="E289" s="14" t="inlineStr">
        <is>
          <t>Phase 12 — SEO Hardening, Redirects &amp; Cutover Prep</t>
        </is>
      </c>
    </row>
    <row r="290">
      <c r="A290" s="4" t="n"/>
      <c r="B290" s="4" t="inlineStr">
        <is>
          <t>Live-only and redesigned pages from the 2026-10-07 page sweep (188 pages compared with live)</t>
        </is>
      </c>
      <c r="C290" s="13" t="inlineStr">
        <is>
          <t>Done</t>
        </is>
      </c>
      <c r="D290"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0" s="14" t="inlineStr">
        <is>
          <t>Phase 12 — SEO Hardening, Redirects &amp; Cutover Prep</t>
        </is>
      </c>
    </row>
    <row r="291">
      <c r="A291" s="4" t="n"/>
      <c r="B291" s="4" t="inlineStr">
        <is>
          <t>/alex-azzi locked like live (2026-10-07, owner said match it)</t>
        </is>
      </c>
      <c r="C291" s="13" t="inlineStr">
        <is>
          <t>Done</t>
        </is>
      </c>
      <c r="D291" s="4" t="inlineStr">
        <is>
          <t>same server-checked password as the locked essay (GATED_POST_PASSWORD, now also set in Netlify), live's "Restricted Access" screen, the report not in the page until unlocked, out of search and the sitemap.</t>
        </is>
      </c>
      <c r="E291" s="14" t="inlineStr">
        <is>
          <t>Phase 12 — SEO Hardening, Redirects &amp; Cutover Prep</t>
        </is>
      </c>
    </row>
    <row r="292">
      <c r="A292" s="4" t="n"/>
      <c r="B292" s="4" t="inlineStr">
        <is>
          <t>Live's title fonts and sizes (2026-10-07, "fix the style")</t>
        </is>
      </c>
      <c r="C292" s="13" t="inlineStr">
        <is>
          <t>Done</t>
        </is>
      </c>
      <c r="D292"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2" s="14" t="inlineStr">
        <is>
          <t>Phase 12 — SEO Hardening, Redirects &amp; Cutover Prep</t>
        </is>
      </c>
    </row>
    <row r="293">
      <c r="A293" s="4" t="n"/>
      <c r="B293" s="4" t="inlineStr">
        <is>
          <t>Peptide page images rescued into Sanity and wired (2026-10-07)</t>
        </is>
      </c>
      <c r="C293" s="13" t="inlineStr">
        <is>
          <t>Done</t>
        </is>
      </c>
      <c r="D293" s="4" t="inlineStr">
        <is>
          <t>/peptide-watch hero plus its 11 section banners, /peptide-matrix and /peptide-supply-chain heroes, the /peptide-hall-of-shame hero (scripts/rescue-2026-10-07-peptide-images.ts, logged in docs/ai/manus-media-rescue.md).</t>
        </is>
      </c>
      <c r="E293" s="14" t="inlineStr">
        <is>
          <t>Phase 12 — SEO Hardening, Redirects &amp; Cutover Prep</t>
        </is>
      </c>
    </row>
    <row r="294">
      <c r="A294" s="4" t="n"/>
      <c r="B294" s="4" t="inlineStr">
        <is>
          <t>Live's editorial redesign, first group (2026-10-07)</t>
        </is>
      </c>
      <c r="C294" s="13" t="inlineStr">
        <is>
          <t>Done</t>
        </is>
      </c>
      <c r="D294"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4" s="14" t="inlineStr">
        <is>
          <t>Phase 12 — SEO Hardening, Redirects &amp; Cutover Prep</t>
        </is>
      </c>
    </row>
    <row r="295">
      <c r="A295" s="4" t="n"/>
      <c r="B295" s="4" t="inlineStr">
        <is>
          <t>Live's redesign, second group (done 2026-10-08)</t>
        </is>
      </c>
      <c r="C295" s="13" t="inlineStr">
        <is>
          <t>Done</t>
        </is>
      </c>
      <c r="D295"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5" s="14" t="inlineStr">
        <is>
          <t>Phase 12 — SEO Hardening, Redirects &amp; Cutover Prep</t>
        </is>
      </c>
    </row>
    <row r="296">
      <c r="A296" s="4" t="n"/>
      <c r="B296" s="4" t="inlineStr">
        <is>
          <t>BrewSoul top of page (2026-10-08, owner: "button in the center at the top doesn't look good")</t>
        </is>
      </c>
      <c r="C296" s="13" t="inlineStr">
        <is>
          <t>Done</t>
        </is>
      </c>
      <c r="D296"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296" s="14" t="inlineStr">
        <is>
          <t>Phase 12 — SEO Hardening, Redirects &amp; Cutover Prep</t>
        </is>
      </c>
    </row>
    <row r="297">
      <c r="A297" s="4" t="n"/>
      <c r="B297" s="4" t="inlineStr">
        <is>
          <t>/pri-efficacy's "Simulation / Live Calibrations" switch like live (2026-10-08)</t>
        </is>
      </c>
      <c r="C297" s="13" t="inlineStr">
        <is>
          <t>Done</t>
        </is>
      </c>
      <c r="D297"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297" s="14" t="inlineStr">
        <is>
          <t>Phase 12 — SEO Hardening, Redirects &amp; Cutover Prep</t>
        </is>
      </c>
    </row>
    <row r="298">
      <c r="A298" s="4" t="n"/>
      <c r="B298" s="4" t="inlineStr">
        <is>
          <t>/brewsoul/browse hero readable (2026-10-08, owner said go ahead)</t>
        </is>
      </c>
      <c r="C298" s="13" t="inlineStr">
        <is>
          <t>Done</t>
        </is>
      </c>
      <c r="D298" s="4" t="inlineStr">
        <is>
          <t>a soft cream glow behind the title block so "The Catalog", the subtitle and the stat labels read clearly over the coffee photo (live is hard to read there too; rule 20). Photo still shows around the edges. Checked at 390/1280px.</t>
        </is>
      </c>
      <c r="E298" s="14" t="inlineStr">
        <is>
          <t>Phase 12 — SEO Hardening, Redirects &amp; Cutover Prep</t>
        </is>
      </c>
    </row>
    <row r="299">
      <c r="A299" s="10" t="inlineStr">
        <is>
          <t>Phase 13 — Images Needed in Sanity</t>
        </is>
      </c>
      <c r="B299" s="11" t="n"/>
      <c r="C299" s="11" t="n"/>
      <c r="D299" s="12" t="n"/>
    </row>
    <row r="300">
      <c r="A300" s="4" t="n"/>
      <c r="B300" s="4" t="inlineStr">
        <is>
          <t>Manus media rescue (2026-09-29)</t>
        </is>
      </c>
      <c r="C300" s="13" t="inlineStr">
        <is>
          <t>Done</t>
        </is>
      </c>
      <c r="D300"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0" s="14" t="inlineStr">
        <is>
          <t>Phase 13 — Images Needed in Sanity</t>
        </is>
      </c>
    </row>
    <row r="301">
      <c r="A301" s="4" t="n"/>
      <c r="B301" s="4" t="inlineStr">
        <is>
          <t>Favicon</t>
        </is>
      </c>
      <c r="C301" s="13" t="inlineStr">
        <is>
          <t>Done</t>
        </is>
      </c>
      <c r="D301" s="4" t="inlineStr">
        <is>
          <t>real "G" brand mark generated from the header's actual wordmark treatment (src/app/icon.tsx), see Phase 3</t>
        </is>
      </c>
      <c r="E301" s="14" t="inlineStr">
        <is>
          <t>Phase 13 — Images Needed in Sanity</t>
        </is>
      </c>
    </row>
    <row r="302">
      <c r="A302" s="4" t="n"/>
      <c r="B302" s="4" t="inlineStr">
        <is>
          <t>Site-wide: logo (light + dark) beyond the current text wordmark</t>
        </is>
      </c>
      <c r="C302" s="15" t="inlineStr">
        <is>
          <t>Remaining</t>
        </is>
      </c>
      <c r="D302" s="4" t="inlineStr">
        <is>
          <t>(Default/fallback OG image 1200×630 exists: public/images/default-og.png, checked 2026-10-02.)</t>
        </is>
      </c>
      <c r="E302" s="14" t="inlineStr">
        <is>
          <t>Phase 13 — Images Needed in Sanity</t>
        </is>
      </c>
    </row>
    <row r="303">
      <c r="A303" s="4" t="n"/>
      <c r="B303" s="4" t="inlineStr">
        <is>
          <t>Author photo(s) for blog author schema (Tony Greenberg headshot at minimum)</t>
        </is>
      </c>
      <c r="C303" s="13" t="inlineStr">
        <is>
          <t>Done</t>
        </is>
      </c>
      <c r="D303" s="4" t="inlineStr">
        <is>
          <t>2026-10-02: the rescued headshot is already the author avatar in Sanity; now also in every post's Article JSON-LD (author image + url /about). The JSON-LD publisher logo pointed at /favicon.ico, a 404 here; now /icon.</t>
        </is>
      </c>
      <c r="E303" s="14" t="inlineStr">
        <is>
          <t>Phase 13 — Images Needed in Sanity</t>
        </is>
      </c>
    </row>
    <row r="304">
      <c r="A304" s="4" t="n"/>
      <c r="B304" s="4" t="inlineStr">
        <is>
          <t>Blog hero images</t>
        </is>
      </c>
      <c r="C304" s="13" t="inlineStr">
        <is>
          <t>Done</t>
        </is>
      </c>
      <c r="D304" s="4" t="inlineStr">
        <is>
          <t>audited, then migrated. Final state:</t>
        </is>
      </c>
      <c r="E304" s="14" t="inlineStr">
        <is>
          <t>Phase 13 — Images Needed in Sanity</t>
        </is>
      </c>
    </row>
    <row r="305">
      <c r="A305" s="4" t="n"/>
      <c r="B305" s="4" t="inlineStr">
        <is>
          <t>22 posts have a real hero image, now live in Sanity (17 already on RampRate's own CloudFront + 4 rescued from the legacy /api/img/ proxy + 1…</t>
        </is>
      </c>
      <c r="C305" s="13" t="inlineStr">
        <is>
          <t>Done</t>
        </is>
      </c>
      <c r="D305" s="4" t="inlineStr">
        <is>
          <t xml:space="preserve"> rescued from /manus-storage/, all pulled over by migrate-blog-posts.ts before Manus is decommissioned)</t>
        </is>
      </c>
      <c r="E305" s="14" t="inlineStr">
        <is>
          <t>Phase 13 — Images Needed in Sanity</t>
        </is>
      </c>
    </row>
    <row r="306">
      <c r="A306" s="4" t="n"/>
      <c r="B306" s="4" t="inlineStr">
        <is>
          <t>7 more posts got a real, unique hero image rescued from the live legacy site's newly-added art this pass (scripts/rescue-2026-09-blog-images…</t>
        </is>
      </c>
      <c r="C306" s="13" t="inlineStr">
        <is>
          <t>Done</t>
        </is>
      </c>
      <c r="D306"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06" s="14" t="inlineStr">
        <is>
          <t>Phase 13 — Images Needed in Sanity</t>
        </is>
      </c>
    </row>
    <row r="307">
      <c r="A307" s="4" t="n"/>
      <c r="B307" s="4" t="inlineStr">
        <is>
          <t>92 posts still need a real, unique hero image</t>
        </is>
      </c>
      <c r="C307" s="15" t="inlineStr">
        <is>
          <t>Remaining</t>
        </is>
      </c>
      <c r="D307"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07" s="14" t="inlineStr">
        <is>
          <t>Phase 13 — Images Needed in Sanity</t>
        </is>
      </c>
    </row>
    <row r="308">
      <c r="A308" s="4" t="n"/>
      <c r="B308" s="4" t="inlineStr">
        <is>
          <t>Blog: per-post OG image if different from hero (many posts can reuse hero as OG)</t>
        </is>
      </c>
      <c r="C308" s="13" t="inlineStr">
        <is>
          <t>Done</t>
        </is>
      </c>
      <c r="D308" s="4" t="inlineStr">
        <is>
          <t>Confirmed 2026-10-02: generateMetadata uses seo.ogImage, else the hero, else the default OG image.</t>
        </is>
      </c>
      <c r="E308" s="14" t="inlineStr">
        <is>
          <t>Phase 13 — Images Needed in Sanity</t>
        </is>
      </c>
    </row>
    <row r="309">
      <c r="A309" s="4" t="n"/>
      <c r="B309" s="4" t="inlineStr">
        <is>
          <t>Marketing pages</t>
        </is>
      </c>
      <c r="C309" s="13" t="inlineStr">
        <is>
          <t>Done</t>
        </is>
      </c>
      <c r="D309"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09" s="14" t="inlineStr">
        <is>
          <t>Phase 13 — Images Needed in Sanity</t>
        </is>
      </c>
    </row>
    <row r="310">
      <c r="A310" s="4" t="n"/>
      <c r="B310" s="4" t="inlineStr">
        <is>
          <t>/akbar essay images</t>
        </is>
      </c>
      <c r="C310" s="13" t="inlineStr">
        <is>
          <t>Done</t>
        </is>
      </c>
      <c r="D310"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0" s="14" t="inlineStr">
        <is>
          <t>Phase 13 — Images Needed in Sanity</t>
        </is>
      </c>
    </row>
    <row r="311">
      <c r="A311" s="4" t="n"/>
      <c r="B311" s="4" t="inlineStr">
        <is>
          <t>Rescued page images wired back in (2026-09-29)</t>
        </is>
      </c>
      <c r="C311" s="13" t="inlineStr">
        <is>
          <t>Done</t>
        </is>
      </c>
      <c r="D311"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1" s="14" t="inlineStr">
        <is>
          <t>Phase 13 — Images Needed in Sanity</t>
        </is>
      </c>
    </row>
    <row r="312">
      <c r="A312" s="4" t="n"/>
      <c r="B312" s="4" t="inlineStr">
        <is>
          <t>BrewSoul: coffee/product images (brewsoul-coffees-expanded.ts likely has image refs</t>
        </is>
      </c>
      <c r="C312" s="13" t="inlineStr">
        <is>
          <t>Done</t>
        </is>
      </c>
      <c r="D312"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2" s="14" t="inlineStr">
        <is>
          <t>Phase 13 — Images Needed in Sanity</t>
        </is>
      </c>
    </row>
    <row r="313">
      <c r="A313" s="4" t="n"/>
      <c r="B313" s="4" t="inlineStr">
        <is>
          <t>65 page images moved off the Manus storage copy into Sanity (2026-10-02)</t>
        </is>
      </c>
      <c r="C313" s="13" t="inlineStr">
        <is>
          <t>Done</t>
        </is>
      </c>
      <c r="D313"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3" s="14" t="inlineStr">
        <is>
          <t>Phase 13 — Images Needed in Sanity</t>
        </is>
      </c>
    </row>
    <row r="314">
      <c r="A314" s="4" t="n"/>
      <c r="B314" s="4" t="inlineStr">
        <is>
          <t>PRI/Kava: medicine reference images (medicine-images.ts), facility images for /facilitator-index</t>
        </is>
      </c>
      <c r="C314" s="13" t="inlineStr">
        <is>
          <t>Done</t>
        </is>
      </c>
      <c r="D314" s="4" t="inlineStr">
        <is>
          <t>2026-10-02: all in Sanity; image counts match live on PRI, Kava, Iboga, Peyote, facilitator pages.</t>
        </is>
      </c>
      <c r="E314" s="14" t="inlineStr">
        <is>
          <t>Phase 13 — Images Needed in Sanity</t>
        </is>
      </c>
    </row>
    <row r="315">
      <c r="A315" s="4" t="n"/>
      <c r="B315" s="4" t="inlineStr">
        <is>
          <t>Manifesto/Attention Theft: any diagram/illustration assets used on the mega-page</t>
        </is>
      </c>
      <c r="C315" s="13" t="inlineStr">
        <is>
          <t>Done</t>
        </is>
      </c>
      <c r="D315" s="4" t="inlineStr">
        <is>
          <t>2026-10-02: 6 of live's 7 are in (now in Sanity); the 7th belongs to the Wall of Shame section left out on purpose.</t>
        </is>
      </c>
      <c r="E315" s="14" t="inlineStr">
        <is>
          <t>Phase 13 — Images Needed in Sanity</t>
        </is>
      </c>
    </row>
    <row r="316">
      <c r="A316" s="4" t="n"/>
      <c r="B316" s="4" t="inlineStr">
        <is>
          <t>Assessment result-screen background art (flagged in STATUS.md as a known gap</t>
        </is>
      </c>
      <c r="C316" s="15" t="inlineStr">
        <is>
          <t>Remaining</t>
        </is>
      </c>
      <c r="D316" s="4" t="inlineStr">
        <is>
          <t>18/20 assessments currently have plain black backgrounds; sourcing themed art here also closes that gap)</t>
        </is>
      </c>
      <c r="E316" s="14" t="inlineStr">
        <is>
          <t>Phase 13 — Images Needed in Sanity</t>
        </is>
      </c>
    </row>
    <row r="317">
      <c r="A317" s="4" t="n"/>
      <c r="B317" s="4" t="inlineStr">
        <is>
          <t>Chatbot: FauxTony avatar/icon</t>
        </is>
      </c>
      <c r="C317" s="13" t="inlineStr">
        <is>
          <t>Done</t>
        </is>
      </c>
      <c r="D317" s="4" t="inlineStr">
        <is>
          <t>Not needed (2026-10-02): the chatbot phase (Phase 10) was cancelled.</t>
        </is>
      </c>
      <c r="E317" s="14" t="inlineStr">
        <is>
          <t>Phase 13 — Images Needed in Sanity</t>
        </is>
      </c>
    </row>
    <row r="318">
      <c r="A318" s="4" t="n"/>
      <c r="B318" s="4" t="inlineStr">
        <is>
          <t>Audit client/public/ (including alex-azzi/, brewsoul/ subfolders) for any static assets already sitting there unused that should be pulled i…</t>
        </is>
      </c>
      <c r="C318" s="13" t="inlineStr">
        <is>
          <t>Done</t>
        </is>
      </c>
      <c r="D318"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18" s="14" t="inlineStr">
        <is>
          <t>Phase 13 — Images Needed in Sanity</t>
        </is>
      </c>
    </row>
    <row r="319">
      <c r="A319" s="10" t="inlineStr">
        <is>
          <t>Phase 14 — QA &amp; Launch</t>
        </is>
      </c>
      <c r="B319" s="11" t="n"/>
      <c r="C319" s="11" t="n"/>
      <c r="D319" s="12" t="n"/>
    </row>
    <row r="320">
      <c r="A320" s="4" t="n"/>
      <c r="B320" s="4" t="inlineStr">
        <is>
          <t>Mobile responsive pass on every ported section</t>
        </is>
      </c>
      <c r="C320" s="15" t="inlineStr">
        <is>
          <t>Remaining</t>
        </is>
      </c>
      <c r="D320"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320" s="14" t="inlineStr">
        <is>
          <t>Phase 14 — QA &amp; Launch</t>
        </is>
      </c>
    </row>
    <row r="321">
      <c r="A321" s="4" t="n"/>
      <c r="B321" s="4" t="inlineStr">
        <is>
          <t>Accessibility pass (WCAG AA contrast, 44px touch targets, keyboard nav)</t>
        </is>
      </c>
      <c r="C321" s="13" t="inlineStr">
        <is>
          <t>Done</t>
        </is>
      </c>
      <c r="D321"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1" s="14" t="inlineStr">
        <is>
          <t>Phase 14 — QA &amp; Launch</t>
        </is>
      </c>
    </row>
    <row r="322">
      <c r="A322" s="4" t="n"/>
      <c r="B322" s="4" t="inlineStr">
        <is>
          <t>No dead-end pages (every page links to 2+ others)</t>
        </is>
      </c>
      <c r="C322" s="15" t="inlineStr">
        <is>
          <t>Remaining</t>
        </is>
      </c>
      <c r="D322"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2" s="14" t="inlineStr">
        <is>
          <t>Phase 14 — QA &amp; Launch</t>
        </is>
      </c>
    </row>
    <row r="323">
      <c r="A323" s="4" t="n"/>
      <c r="B323" s="4" t="inlineStr">
        <is>
          <t>Cross-browser check (Safari iOS in particular, per legacy performance notes) 2026-10-06 WebKit pass (Playwright WebKit, iPhone 13 profile, 1…</t>
        </is>
      </c>
      <c r="C323" s="15" t="inlineStr">
        <is>
          <t>Remaining</t>
        </is>
      </c>
      <c r="D323"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3" s="14" t="inlineStr">
        <is>
          <t>Phase 14 — QA &amp; Launch</t>
        </is>
      </c>
    </row>
    <row r="324">
      <c r="A324" s="4" t="n"/>
      <c r="B324" s="4" t="inlineStr">
        <is>
          <t>Remove noindex only when sign-off is given</t>
        </is>
      </c>
      <c r="C324" s="15" t="inlineStr">
        <is>
          <t>Remaining</t>
        </is>
      </c>
      <c r="D324" s="4" t="inlineStr">
        <is>
          <t>do not launch indexable by accident (The only noindex is the host-based one for *.netlify.app above, so the real domain is indexable as soon as DNS points at it: sign-off must come before DNS.)</t>
        </is>
      </c>
      <c r="E324" s="14" t="inlineStr">
        <is>
          <t>Phase 14 — QA &amp; Launch</t>
        </is>
      </c>
    </row>
    <row r="325">
      <c r="A325" s="4" t="n"/>
      <c r="B325" s="4" t="inlineStr">
        <is>
          <t>Final stakeholder sign-off (Tony/Darryl/Kimberly) on the ported site before DNS cutover</t>
        </is>
      </c>
      <c r="C325" s="15" t="inlineStr">
        <is>
          <t>Remaining</t>
        </is>
      </c>
      <c r="D325" s="4" t="inlineStr"/>
      <c r="E325" s="14" t="inlineStr">
        <is>
          <t>Phase 14 — QA &amp; Launch</t>
        </is>
      </c>
    </row>
    <row r="326">
      <c r="A326" s="4" t="n"/>
      <c r="B326" s="4" t="inlineStr">
        <is>
          <t>DNS cutover, legacy app decommissioned only after a stable overlap window</t>
        </is>
      </c>
      <c r="C326" s="15" t="inlineStr">
        <is>
          <t>Remaining</t>
        </is>
      </c>
      <c r="D326" s="4" t="inlineStr"/>
      <c r="E326" s="14" t="inlineStr">
        <is>
          <t>Phase 14 — QA &amp; Launch</t>
        </is>
      </c>
    </row>
  </sheetData>
  <autoFilter ref="A1:D326"/>
  <mergeCells count="14">
    <mergeCell ref="A150:D150"/>
    <mergeCell ref="A237:D237"/>
    <mergeCell ref="A58:D58"/>
    <mergeCell ref="A258:D258"/>
    <mergeCell ref="A319:D319"/>
    <mergeCell ref="A209:D209"/>
    <mergeCell ref="A205:D205"/>
    <mergeCell ref="A15:D15"/>
    <mergeCell ref="A43:D43"/>
    <mergeCell ref="A2:D2"/>
    <mergeCell ref="A299:D299"/>
    <mergeCell ref="A183:D183"/>
    <mergeCell ref="A32:D32"/>
    <mergeCell ref="A123:D1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4" t="n"/>
      <c r="B11" s="4" t="inlineStr">
        <is>
          <t>Test the new review end to end on a deploy preview</t>
        </is>
      </c>
      <c r="C11" s="15" t="inlineStr">
        <is>
          <t>Remaining</t>
        </is>
      </c>
      <c r="D11" s="4" t="inlineStr">
        <is>
          <t>(needs a yes, it opens a real pull request): one throwaway change from Claude.ai or ChatGPT: start (unclear request, so the confirm step shows), confirm, edit, review card, screenshots, upload link, then discard.</t>
        </is>
      </c>
      <c r="E11" s="14" t="inlineStr">
        <is>
          <t>Phase 11 — Code MCP Server — REBUILT (2026-09-29)</t>
        </is>
      </c>
    </row>
    <row r="12">
      <c r="A12" s="10" t="inlineStr">
        <is>
          <t>Phase 12 — SEO Hardening, Redirects &amp; Cutover Prep</t>
        </is>
      </c>
      <c r="B12" s="11" t="n"/>
      <c r="C12" s="11" t="n"/>
      <c r="D12" s="12" t="n"/>
    </row>
    <row r="13">
      <c r="A13" s="4" t="n"/>
      <c r="B13" s="4" t="inlineStr">
        <is>
          <t>Still different from live (needs a yes)</t>
        </is>
      </c>
      <c r="C13" s="15" t="inlineStr">
        <is>
          <t>Remaining</t>
        </is>
      </c>
      <c r="D13" s="4" t="inlineStr">
        <is>
          <t>blog posts (done) (done 2026-10-07, see Phase 5); /find-my on live hides the site header. /walk-through is a 404 on live now.</t>
        </is>
      </c>
      <c r="E13" s="14" t="inlineStr">
        <is>
          <t>Phase 12 — SEO Hardening, Redirects &amp; Cutover Prep</t>
        </is>
      </c>
    </row>
    <row r="14">
      <c r="A14" s="4" t="n"/>
      <c r="B14" s="4" t="inlineStr">
        <is>
          <t>Design change on live, needs a decision</t>
        </is>
      </c>
      <c r="C14" s="15" t="inlineStr">
        <is>
          <t>Remaining</t>
        </is>
      </c>
      <c r="D14" s="4" t="inlineStr">
        <is>
          <t>live's story pages now use Cormorant Garamond for titles (ours: Playfair Display), a lighter title weight (400 vs our 700), and a red eyebrow label (#8E1E25, wider letter spacing) instead of our gold. A site-wide font swap is a design call, so not done.</t>
        </is>
      </c>
      <c r="E14" s="14" t="inlineStr">
        <is>
          <t>Phase 12 — SEO Hardening, Redirects &amp; Cutover Prep</t>
        </is>
      </c>
    </row>
    <row r="15">
      <c r="A15" s="4" t="n"/>
      <c r="B15" s="4" t="inlineStr">
        <is>
          <t>Lighthouse pass (performance/accessibility/SEO) on top 20 pages by traffic 2026-09-30, 20 key pages (no traffic data yet), local production …</t>
        </is>
      </c>
      <c r="C15" s="15" t="inlineStr">
        <is>
          <t>Remaining</t>
        </is>
      </c>
      <c r="D15"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5" s="14" t="inlineStr">
        <is>
          <t>Phase 12 — SEO Hardening, Redirects &amp; Cutover Prep</t>
        </is>
      </c>
    </row>
    <row r="16">
      <c r="A16" s="4" t="n"/>
      <c r="B16" s="4" t="inlineStr">
        <is>
          <t>SEO audit items needing a yes (2026-10-06)</t>
        </is>
      </c>
      <c r="C16" s="15" t="inlineStr">
        <is>
          <t>Remaining</t>
        </is>
      </c>
      <c r="D16"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6" s="14" t="inlineStr">
        <is>
          <t>Phase 12 — SEO Hardening, Redirects &amp; Cutover Prep</t>
        </is>
      </c>
    </row>
    <row r="17">
      <c r="A17" s="4" t="n"/>
      <c r="B17" s="4" t="inlineStr">
        <is>
          <t>Connect Google Search Console + GA4 to the new deployment on day one of cutover</t>
        </is>
      </c>
      <c r="C17" s="15" t="inlineStr">
        <is>
          <t>Remaining</t>
        </is>
      </c>
      <c r="D17" s="4" t="inlineStr"/>
      <c r="E17" s="14" t="inlineStr">
        <is>
          <t>Phase 12 — SEO Hardening, Redirects &amp; Cutover Prep</t>
        </is>
      </c>
    </row>
    <row r="18">
      <c r="A18" s="10" t="inlineStr">
        <is>
          <t>Phase 13 — Images Needed in Sanity</t>
        </is>
      </c>
      <c r="B18" s="11" t="n"/>
      <c r="C18" s="11" t="n"/>
      <c r="D18" s="12" t="n"/>
    </row>
    <row r="19">
      <c r="A19" s="4" t="n"/>
      <c r="B19" s="4" t="inlineStr">
        <is>
          <t>Site-wide: logo (light + dark) beyond the current text wordmark</t>
        </is>
      </c>
      <c r="C19" s="15" t="inlineStr">
        <is>
          <t>Remaining</t>
        </is>
      </c>
      <c r="D19" s="4" t="inlineStr">
        <is>
          <t>(Default/fallback OG image 1200×630 exists: public/images/default-og.png, checked 2026-10-02.)</t>
        </is>
      </c>
      <c r="E19" s="14" t="inlineStr">
        <is>
          <t>Phase 13 — Images Needed in Sanity</t>
        </is>
      </c>
    </row>
    <row r="20">
      <c r="A20" s="4" t="n"/>
      <c r="B20" s="4" t="inlineStr">
        <is>
          <t>92 posts still need a real, unique hero image</t>
        </is>
      </c>
      <c r="C20" s="15" t="inlineStr">
        <is>
          <t>Remaining</t>
        </is>
      </c>
      <c r="D20"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20" s="14" t="inlineStr">
        <is>
          <t>Phase 13 — Images Needed in Sanity</t>
        </is>
      </c>
    </row>
    <row r="21">
      <c r="A21" s="4" t="n"/>
      <c r="B21" s="4" t="inlineStr">
        <is>
          <t>Assessment result-screen background art (flagged in STATUS.md as a known gap</t>
        </is>
      </c>
      <c r="C21" s="15" t="inlineStr">
        <is>
          <t>Remaining</t>
        </is>
      </c>
      <c r="D21" s="4" t="inlineStr">
        <is>
          <t>18/20 assessments currently have plain black backgrounds; sourcing themed art here also closes that gap)</t>
        </is>
      </c>
      <c r="E21" s="14" t="inlineStr">
        <is>
          <t>Phase 13 — Images Needed in Sanity</t>
        </is>
      </c>
    </row>
    <row r="22">
      <c r="A22" s="10" t="inlineStr">
        <is>
          <t>Phase 14 — QA &amp; Launch</t>
        </is>
      </c>
      <c r="B22" s="11" t="n"/>
      <c r="C22" s="11" t="n"/>
      <c r="D22" s="12" t="n"/>
    </row>
    <row r="23">
      <c r="A23" s="4" t="n"/>
      <c r="B23" s="4" t="inlineStr">
        <is>
          <t>Mobile responsive pass on every ported section</t>
        </is>
      </c>
      <c r="C23" s="15" t="inlineStr">
        <is>
          <t>Remaining</t>
        </is>
      </c>
      <c r="D2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23" s="14" t="inlineStr">
        <is>
          <t>Phase 14 — QA &amp; Launch</t>
        </is>
      </c>
    </row>
    <row r="24">
      <c r="A24" s="4" t="n"/>
      <c r="B24" s="4" t="inlineStr">
        <is>
          <t>No dead-end pages (every page links to 2+ others)</t>
        </is>
      </c>
      <c r="C24" s="15" t="inlineStr">
        <is>
          <t>Remaining</t>
        </is>
      </c>
      <c r="D2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4" s="14" t="inlineStr">
        <is>
          <t>Phase 14 — QA &amp; Launch</t>
        </is>
      </c>
    </row>
    <row r="25">
      <c r="A25" s="4" t="n"/>
      <c r="B25" s="4" t="inlineStr">
        <is>
          <t>Cross-browser check (Safari iOS in particular, per legacy performance notes) 2026-10-06 WebKit pass (Playwright WebKit, iPhone 13 profile, 1…</t>
        </is>
      </c>
      <c r="C25" s="15" t="inlineStr">
        <is>
          <t>Remaining</t>
        </is>
      </c>
      <c r="D2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5" s="14" t="inlineStr">
        <is>
          <t>Phase 14 — QA &amp; Launch</t>
        </is>
      </c>
    </row>
    <row r="26">
      <c r="A26" s="4" t="n"/>
      <c r="B26" s="4" t="inlineStr">
        <is>
          <t>Remove noindex only when sign-off is given</t>
        </is>
      </c>
      <c r="C26" s="15" t="inlineStr">
        <is>
          <t>Remaining</t>
        </is>
      </c>
      <c r="D26" s="4" t="inlineStr">
        <is>
          <t>do not launch indexable by accident (The only noindex is the host-based one for *.netlify.app above, so the real domain is indexable as soon as DNS points at it: sign-off must come before DNS.)</t>
        </is>
      </c>
      <c r="E26" s="14" t="inlineStr">
        <is>
          <t>Phase 14 — QA &amp; Launch</t>
        </is>
      </c>
    </row>
    <row r="27">
      <c r="A27" s="4" t="n"/>
      <c r="B27" s="4" t="inlineStr">
        <is>
          <t>Final stakeholder sign-off (Tony/Darryl/Kimberly) on the ported site before DNS cutover</t>
        </is>
      </c>
      <c r="C27" s="15" t="inlineStr">
        <is>
          <t>Remaining</t>
        </is>
      </c>
      <c r="D27" s="4" t="inlineStr"/>
      <c r="E27" s="14" t="inlineStr">
        <is>
          <t>Phase 14 — QA &amp; Launch</t>
        </is>
      </c>
    </row>
    <row r="28">
      <c r="A28" s="4" t="n"/>
      <c r="B28" s="4" t="inlineStr">
        <is>
          <t>DNS cutover, legacy app decommissioned only after a stable overlap window</t>
        </is>
      </c>
      <c r="C28" s="15" t="inlineStr">
        <is>
          <t>Remaining</t>
        </is>
      </c>
      <c r="D28" s="4" t="inlineStr"/>
      <c r="E28" s="14" t="inlineStr">
        <is>
          <t>Phase 14 — QA &amp; Launch</t>
        </is>
      </c>
    </row>
  </sheetData>
  <autoFilter ref="A1:D28"/>
  <mergeCells count="6">
    <mergeCell ref="A5:D5"/>
    <mergeCell ref="A18:D18"/>
    <mergeCell ref="A22:D22"/>
    <mergeCell ref="A12:D12"/>
    <mergeCell ref="A7:D7"/>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2026-10-08T20:08:06Z</dcterms:created>
  <dcterms:modified xsi:type="dcterms:W3CDTF">2026-10-08T20:08:06Z</dcterms:modified>
</cp:coreProperties>
</file>