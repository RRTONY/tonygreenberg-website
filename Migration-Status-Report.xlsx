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Detail'!$A$1:$D$337</definedName>
    <definedName name="_xlnm._FilterDatabase" localSheetId="2" hidden="1">'Remaining Work'!$A$1:$D$25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2026-10-10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Detail'!$E$2:$E$337,$A5,'Full Detail'!$C$2:$C$337,"Done")</f>
        <v/>
      </c>
      <c r="C5" s="5">
        <f>COUNTIFS('Full Detail'!$E$2:$E$337,$A5,'Full Detail'!$C$2:$C$337,"Remaining")</f>
        <v/>
      </c>
      <c r="D5" s="5">
        <f>COUNTIFS('Full Detail'!$E$2:$E$337,$A5,'Full Detail'!$C$2:$C$337,"Deferred")</f>
        <v/>
      </c>
      <c r="E5" s="5">
        <f>SUM(B5:D5)</f>
        <v/>
      </c>
      <c r="F5" s="6">
        <f>IF(E5=0,0,B5/E5)</f>
        <v/>
      </c>
    </row>
    <row r="6">
      <c r="A6" s="4" t="inlineStr">
        <is>
          <t>Phase 1 — Sanity Studio &amp; Schema</t>
        </is>
      </c>
      <c r="B6" s="5">
        <f>COUNTIFS('Full Detail'!$E$2:$E$337,$A6,'Full Detail'!$C$2:$C$337,"Done")</f>
        <v/>
      </c>
      <c r="C6" s="5">
        <f>COUNTIFS('Full Detail'!$E$2:$E$337,$A6,'Full Detail'!$C$2:$C$337,"Remaining")</f>
        <v/>
      </c>
      <c r="D6" s="5">
        <f>COUNTIFS('Full Detail'!$E$2:$E$337,$A6,'Full Detail'!$C$2:$C$337,"Deferred")</f>
        <v/>
      </c>
      <c r="E6" s="5">
        <f>SUM(B6:D6)</f>
        <v/>
      </c>
      <c r="F6" s="6">
        <f>IF(E6=0,0,B6/E6)</f>
        <v/>
      </c>
    </row>
    <row r="7">
      <c r="A7" s="4" t="inlineStr">
        <is>
          <t>Phase 2 — Supabase</t>
        </is>
      </c>
      <c r="B7" s="5">
        <f>COUNTIFS('Full Detail'!$E$2:$E$337,$A7,'Full Detail'!$C$2:$C$337,"Done")</f>
        <v/>
      </c>
      <c r="C7" s="5">
        <f>COUNTIFS('Full Detail'!$E$2:$E$337,$A7,'Full Detail'!$C$2:$C$337,"Remaining")</f>
        <v/>
      </c>
      <c r="D7" s="5">
        <f>COUNTIFS('Full Detail'!$E$2:$E$337,$A7,'Full Detail'!$C$2:$C$337,"Deferred")</f>
        <v/>
      </c>
      <c r="E7" s="5">
        <f>SUM(B7:D7)</f>
        <v/>
      </c>
      <c r="F7" s="6">
        <f>IF(E7=0,0,B7/E7)</f>
        <v/>
      </c>
    </row>
    <row r="8">
      <c r="A8" s="4" t="inlineStr">
        <is>
          <t>Phase 3 — Shared Layout &amp; Design System</t>
        </is>
      </c>
      <c r="B8" s="5">
        <f>COUNTIFS('Full Detail'!$E$2:$E$337,$A8,'Full Detail'!$C$2:$C$337,"Done")</f>
        <v/>
      </c>
      <c r="C8" s="5">
        <f>COUNTIFS('Full Detail'!$E$2:$E$337,$A8,'Full Detail'!$C$2:$C$337,"Remaining")</f>
        <v/>
      </c>
      <c r="D8" s="5">
        <f>COUNTIFS('Full Detail'!$E$2:$E$337,$A8,'Full Detail'!$C$2:$C$337,"Deferred")</f>
        <v/>
      </c>
      <c r="E8" s="5">
        <f>SUM(B8:D8)</f>
        <v/>
      </c>
      <c r="F8" s="6">
        <f>IF(E8=0,0,B8/E8)</f>
        <v/>
      </c>
    </row>
    <row r="9">
      <c r="A9" s="4" t="inlineStr">
        <is>
          <t>Phase 4 — Marketing Core Pages (30 routes)</t>
        </is>
      </c>
      <c r="B9" s="5">
        <f>COUNTIFS('Full Detail'!$E$2:$E$337,$A9,'Full Detail'!$C$2:$C$337,"Done")</f>
        <v/>
      </c>
      <c r="C9" s="5">
        <f>COUNTIFS('Full Detail'!$E$2:$E$337,$A9,'Full Detail'!$C$2:$C$337,"Remaining")</f>
        <v/>
      </c>
      <c r="D9" s="5">
        <f>COUNTIFS('Full Detail'!$E$2:$E$337,$A9,'Full Detail'!$C$2:$C$337,"Deferred")</f>
        <v/>
      </c>
      <c r="E9" s="5">
        <f>SUM(B9:D9)</f>
        <v/>
      </c>
      <c r="F9" s="6">
        <f>IF(E9=0,0,B9/E9)</f>
        <v/>
      </c>
    </row>
    <row r="10">
      <c r="A10" s="4" t="inlineStr">
        <is>
          <t>Phase 5 — Blog Engine (Sanity-backed)</t>
        </is>
      </c>
      <c r="B10" s="5">
        <f>COUNTIFS('Full Detail'!$E$2:$E$337,$A10,'Full Detail'!$C$2:$C$337,"Done")</f>
        <v/>
      </c>
      <c r="C10" s="5">
        <f>COUNTIFS('Full Detail'!$E$2:$E$337,$A10,'Full Detail'!$C$2:$C$337,"Remaining")</f>
        <v/>
      </c>
      <c r="D10" s="5">
        <f>COUNTIFS('Full Detail'!$E$2:$E$337,$A10,'Full Detail'!$C$2:$C$337,"Deferred")</f>
        <v/>
      </c>
      <c r="E10" s="5">
        <f>SUM(B10:D10)</f>
        <v/>
      </c>
      <c r="F10" s="6">
        <f>IF(E10=0,0,B10/E10)</f>
        <v/>
      </c>
    </row>
    <row r="11">
      <c r="A11" s="4" t="inlineStr">
        <is>
          <t>Phase 6 — BrewSoul (28 routes)</t>
        </is>
      </c>
      <c r="B11" s="5">
        <f>COUNTIFS('Full Detail'!$E$2:$E$337,$A11,'Full Detail'!$C$2:$C$337,"Done")</f>
        <v/>
      </c>
      <c r="C11" s="5">
        <f>COUNTIFS('Full Detail'!$E$2:$E$337,$A11,'Full Detail'!$C$2:$C$337,"Remaining")</f>
        <v/>
      </c>
      <c r="D11" s="5">
        <f>COUNTIFS('Full Detail'!$E$2:$E$337,$A11,'Full Detail'!$C$2:$C$337,"Deferred")</f>
        <v/>
      </c>
      <c r="E11" s="5">
        <f>SUM(B11:D11)</f>
        <v/>
      </c>
      <c r="F11" s="6">
        <f>IF(E11=0,0,B11/E11)</f>
        <v/>
      </c>
    </row>
    <row r="12">
      <c r="A12" s="4" t="inlineStr">
        <is>
          <t>Phase 7 — PRI &amp; Kava Encyclopedias (19 routes)</t>
        </is>
      </c>
      <c r="B12" s="5">
        <f>COUNTIFS('Full Detail'!$E$2:$E$337,$A12,'Full Detail'!$C$2:$C$337,"Done")</f>
        <v/>
      </c>
      <c r="C12" s="5">
        <f>COUNTIFS('Full Detail'!$E$2:$E$337,$A12,'Full Detail'!$C$2:$C$337,"Remaining")</f>
        <v/>
      </c>
      <c r="D12" s="5">
        <f>COUNTIFS('Full Detail'!$E$2:$E$337,$A12,'Full Detail'!$C$2:$C$337,"Deferred")</f>
        <v/>
      </c>
      <c r="E12" s="5">
        <f>SUM(B12:D12)</f>
        <v/>
      </c>
      <c r="F12" s="6">
        <f>IF(E12=0,0,B12/E12)</f>
        <v/>
      </c>
    </row>
    <row r="13">
      <c r="A13" s="4" t="inlineStr">
        <is>
          <t>Phase 8 — Attention Theft Manifesto (7 routes)</t>
        </is>
      </c>
      <c r="B13" s="5">
        <f>COUNTIFS('Full Detail'!$E$2:$E$337,$A13,'Full Detail'!$C$2:$C$337,"Done")</f>
        <v/>
      </c>
      <c r="C13" s="5">
        <f>COUNTIFS('Full Detail'!$E$2:$E$337,$A13,'Full Detail'!$C$2:$C$337,"Remaining")</f>
        <v/>
      </c>
      <c r="D13" s="5">
        <f>COUNTIFS('Full Detail'!$E$2:$E$337,$A13,'Full Detail'!$C$2:$C$337,"Deferred")</f>
        <v/>
      </c>
      <c r="E13" s="5">
        <f>SUM(B13:D13)</f>
        <v/>
      </c>
      <c r="F13" s="6">
        <f>IF(E13=0,0,B13/E13)</f>
        <v/>
      </c>
    </row>
    <row r="14">
      <c r="A14" s="4" t="inlineStr">
        <is>
          <t>Phase 9 — Assessments (33 routes)</t>
        </is>
      </c>
      <c r="B14" s="5">
        <f>COUNTIFS('Full Detail'!$E$2:$E$337,$A14,'Full Detail'!$C$2:$C$337,"Done")</f>
        <v/>
      </c>
      <c r="C14" s="5">
        <f>COUNTIFS('Full Detail'!$E$2:$E$337,$A14,'Full Detail'!$C$2:$C$337,"Remaining")</f>
        <v/>
      </c>
      <c r="D14" s="5">
        <f>COUNTIFS('Full Detail'!$E$2:$E$337,$A14,'Full Detail'!$C$2:$C$337,"Deferred")</f>
        <v/>
      </c>
      <c r="E14" s="5">
        <f>SUM(B14:D14)</f>
        <v/>
      </c>
      <c r="F14" s="6">
        <f>IF(E14=0,0,B14/E14)</f>
        <v/>
      </c>
    </row>
    <row r="15">
      <c r="A15" s="4" t="inlineStr">
        <is>
          <t>Phase 10 — FauxTony Chatbot — CANCELLED (2026-09-10)</t>
        </is>
      </c>
      <c r="B15" s="5">
        <f>COUNTIFS('Full Detail'!$E$2:$E$337,$A15,'Full Detail'!$C$2:$C$337,"Done")</f>
        <v/>
      </c>
      <c r="C15" s="5">
        <f>COUNTIFS('Full Detail'!$E$2:$E$337,$A15,'Full Detail'!$C$2:$C$337,"Remaining")</f>
        <v/>
      </c>
      <c r="D15" s="5">
        <f>COUNTIFS('Full Detail'!$E$2:$E$337,$A15,'Full Detail'!$C$2:$C$337,"Deferred")</f>
        <v/>
      </c>
      <c r="E15" s="5">
        <f>SUM(B15:D15)</f>
        <v/>
      </c>
      <c r="F15" s="6">
        <f>IF(E15=0,0,B15/E15)</f>
        <v/>
      </c>
    </row>
    <row r="16">
      <c r="A16" s="4" t="inlineStr">
        <is>
          <t>Phase 11 — Code MCP Server — REBUILT (2026-09-29)</t>
        </is>
      </c>
      <c r="B16" s="5">
        <f>COUNTIFS('Full Detail'!$E$2:$E$337,$A16,'Full Detail'!$C$2:$C$337,"Done")</f>
        <v/>
      </c>
      <c r="C16" s="5">
        <f>COUNTIFS('Full Detail'!$E$2:$E$337,$A16,'Full Detail'!$C$2:$C$337,"Remaining")</f>
        <v/>
      </c>
      <c r="D16" s="5">
        <f>COUNTIFS('Full Detail'!$E$2:$E$337,$A16,'Full Detail'!$C$2:$C$337,"Deferred")</f>
        <v/>
      </c>
      <c r="E16" s="5">
        <f>SUM(B16:D16)</f>
        <v/>
      </c>
      <c r="F16" s="6">
        <f>IF(E16=0,0,B16/E16)</f>
        <v/>
      </c>
    </row>
    <row r="17">
      <c r="A17" s="4" t="inlineStr">
        <is>
          <t>Phase 12 — SEO Hardening, Redirects &amp; Cutover Prep</t>
        </is>
      </c>
      <c r="B17" s="5">
        <f>COUNTIFS('Full Detail'!$E$2:$E$337,$A17,'Full Detail'!$C$2:$C$337,"Done")</f>
        <v/>
      </c>
      <c r="C17" s="5">
        <f>COUNTIFS('Full Detail'!$E$2:$E$337,$A17,'Full Detail'!$C$2:$C$337,"Remaining")</f>
        <v/>
      </c>
      <c r="D17" s="5">
        <f>COUNTIFS('Full Detail'!$E$2:$E$337,$A17,'Full Detail'!$C$2:$C$337,"Deferred")</f>
        <v/>
      </c>
      <c r="E17" s="5">
        <f>SUM(B17:D17)</f>
        <v/>
      </c>
      <c r="F17" s="6">
        <f>IF(E17=0,0,B17/E17)</f>
        <v/>
      </c>
    </row>
    <row r="18">
      <c r="A18" s="4" t="inlineStr">
        <is>
          <t>Phase 13 — Images Needed in Sanity</t>
        </is>
      </c>
      <c r="B18" s="5">
        <f>COUNTIFS('Full Detail'!$E$2:$E$337,$A18,'Full Detail'!$C$2:$C$337,"Done")</f>
        <v/>
      </c>
      <c r="C18" s="5">
        <f>COUNTIFS('Full Detail'!$E$2:$E$337,$A18,'Full Detail'!$C$2:$C$337,"Remaining")</f>
        <v/>
      </c>
      <c r="D18" s="5">
        <f>COUNTIFS('Full Detail'!$E$2:$E$337,$A18,'Full Detail'!$C$2:$C$337,"Deferred")</f>
        <v/>
      </c>
      <c r="E18" s="5">
        <f>SUM(B18:D18)</f>
        <v/>
      </c>
      <c r="F18" s="6">
        <f>IF(E18=0,0,B18/E18)</f>
        <v/>
      </c>
    </row>
    <row r="19">
      <c r="A19" s="4" t="inlineStr">
        <is>
          <t>Phase 14 — QA &amp; Launch</t>
        </is>
      </c>
      <c r="B19" s="5">
        <f>COUNTIFS('Full Detail'!$E$2:$E$337,$A19,'Full Detail'!$C$2:$C$337,"Done")</f>
        <v/>
      </c>
      <c r="C19" s="5">
        <f>COUNTIFS('Full Detail'!$E$2:$E$337,$A19,'Full Detail'!$C$2:$C$337,"Remaining")</f>
        <v/>
      </c>
      <c r="D19" s="5">
        <f>COUNTIFS('Full Detail'!$E$2:$E$337,$A19,'Full Detail'!$C$2:$C$337,"Deferred")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t>
        </is>
      </c>
      <c r="C47" s="15" t="inlineStr">
        <is>
          <t>Remaining</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6"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5"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5"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5"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5"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5"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t>
        </is>
      </c>
      <c r="C296" s="15" t="inlineStr">
        <is>
          <t>Remaining</t>
        </is>
      </c>
      <c r="D296"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Connect Google Search Console + GA4 to the new deployment on day one of cutover</t>
        </is>
      </c>
      <c r="C298" s="15" t="inlineStr">
        <is>
          <t>Remaining</t>
        </is>
      </c>
      <c r="D298" s="4" t="inlineStr"/>
      <c r="E298" s="14" t="inlineStr">
        <is>
          <t>Phase 12 — SEO Hardening, Redirects &amp; Cutover Prep</t>
        </is>
      </c>
    </row>
    <row r="299">
      <c r="A299" s="4" t="n"/>
      <c r="B299" s="4" t="inlineStr">
        <is>
          <t>Restore/adapt the manus.space triple-layer noindex lockdown pattern for any remaining staging URLs</t>
        </is>
      </c>
      <c r="C299" s="13" t="inlineStr">
        <is>
          <t>Done</t>
        </is>
      </c>
      <c r="D299"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9" s="14" t="inlineStr">
        <is>
          <t>Phase 12 — SEO Hardening, Redirects &amp; Cutover Prep</t>
        </is>
      </c>
    </row>
    <row r="300">
      <c r="A300" s="4" t="n"/>
      <c r="B300" s="4" t="inlineStr">
        <is>
          <t>"Keep going" strip above the footer on every page (2026-10-07)</t>
        </is>
      </c>
      <c r="C300" s="13" t="inlineStr">
        <is>
          <t>Done</t>
        </is>
      </c>
      <c r="D300" s="4" t="inlineStr">
        <is>
          <t>legacy's WhereNext (deferred in Phase 3, never picked up) with its per-page suggestions, Home · Site Index · All Assessments; links pointed at current routes.</t>
        </is>
      </c>
      <c r="E300" s="14" t="inlineStr">
        <is>
          <t>Phase 12 — SEO Hardening, Redirects &amp; Cutover Prep</t>
        </is>
      </c>
    </row>
    <row r="301">
      <c r="A301" s="4" t="n"/>
      <c r="B301" s="4" t="inlineStr">
        <is>
          <t>Live-only and redesigned pages from the 2026-10-07 page sweep (188 pages compared with live)</t>
        </is>
      </c>
      <c r="C301" s="13" t="inlineStr">
        <is>
          <t>Done</t>
        </is>
      </c>
      <c r="D301"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1" s="14" t="inlineStr">
        <is>
          <t>Phase 12 — SEO Hardening, Redirects &amp; Cutover Prep</t>
        </is>
      </c>
    </row>
    <row r="302">
      <c r="A302" s="4" t="n"/>
      <c r="B302" s="4" t="inlineStr">
        <is>
          <t>/alex-azzi locked like live (2026-10-07, owner said match it)</t>
        </is>
      </c>
      <c r="C302" s="13" t="inlineStr">
        <is>
          <t>Done</t>
        </is>
      </c>
      <c r="D302" s="4" t="inlineStr">
        <is>
          <t>same server-checked password as the locked essay (GATED_POST_PASSWORD, now also set in Netlify), live's "Restricted Access" screen, the report not in the page until unlocked, out of search and the sitemap.</t>
        </is>
      </c>
      <c r="E302" s="14" t="inlineStr">
        <is>
          <t>Phase 12 — SEO Hardening, Redirects &amp; Cutover Prep</t>
        </is>
      </c>
    </row>
    <row r="303">
      <c r="A303" s="4" t="n"/>
      <c r="B303" s="4" t="inlineStr">
        <is>
          <t>Live's title fonts and sizes (2026-10-07, "fix the style")</t>
        </is>
      </c>
      <c r="C303" s="13" t="inlineStr">
        <is>
          <t>Done</t>
        </is>
      </c>
      <c r="D303"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3" s="14" t="inlineStr">
        <is>
          <t>Phase 12 — SEO Hardening, Redirects &amp; Cutover Prep</t>
        </is>
      </c>
    </row>
    <row r="304">
      <c r="A304" s="4" t="n"/>
      <c r="B304" s="4" t="inlineStr">
        <is>
          <t>Peptide page images rescued into Sanity and wired (2026-10-07)</t>
        </is>
      </c>
      <c r="C304" s="13" t="inlineStr">
        <is>
          <t>Done</t>
        </is>
      </c>
      <c r="D304" s="4" t="inlineStr">
        <is>
          <t>/peptide-watch hero plus its 11 section banners, /peptide-matrix and /peptide-supply-chain heroes, the /peptide-hall-of-shame hero (scripts/rescue-2026-10-07-peptide-images.ts, logged in docs/ai/manus-media-rescue.md).</t>
        </is>
      </c>
      <c r="E304" s="14" t="inlineStr">
        <is>
          <t>Phase 12 — SEO Hardening, Redirects &amp; Cutover Prep</t>
        </is>
      </c>
    </row>
    <row r="305">
      <c r="A305" s="4" t="n"/>
      <c r="B305" s="4" t="inlineStr">
        <is>
          <t>Live's editorial redesign, first group (2026-10-07)</t>
        </is>
      </c>
      <c r="C305" s="13" t="inlineStr">
        <is>
          <t>Done</t>
        </is>
      </c>
      <c r="D305"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5" s="14" t="inlineStr">
        <is>
          <t>Phase 12 — SEO Hardening, Redirects &amp; Cutover Prep</t>
        </is>
      </c>
    </row>
    <row r="306">
      <c r="A306" s="4" t="n"/>
      <c r="B306" s="4" t="inlineStr">
        <is>
          <t>Live's redesign, second group (done 2026-10-08)</t>
        </is>
      </c>
      <c r="C306" s="13" t="inlineStr">
        <is>
          <t>Done</t>
        </is>
      </c>
      <c r="D306"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6" s="14" t="inlineStr">
        <is>
          <t>Phase 12 — SEO Hardening, Redirects &amp; Cutover Prep</t>
        </is>
      </c>
    </row>
    <row r="307">
      <c r="A307" s="4" t="n"/>
      <c r="B307" s="4" t="inlineStr">
        <is>
          <t>BrewSoul top of page (2026-10-08, owner: "button in the center at the top doesn't look good")</t>
        </is>
      </c>
      <c r="C307" s="13" t="inlineStr">
        <is>
          <t>Done</t>
        </is>
      </c>
      <c r="D307"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7" s="14" t="inlineStr">
        <is>
          <t>Phase 12 — SEO Hardening, Redirects &amp; Cutover Prep</t>
        </is>
      </c>
    </row>
    <row r="308">
      <c r="A308" s="4" t="n"/>
      <c r="B308" s="4" t="inlineStr">
        <is>
          <t>/pri-efficacy's "Simulation / Live Calibrations" switch like live (2026-10-08)</t>
        </is>
      </c>
      <c r="C308" s="13" t="inlineStr">
        <is>
          <t>Done</t>
        </is>
      </c>
      <c r="D308"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8" s="14" t="inlineStr">
        <is>
          <t>Phase 12 — SEO Hardening, Redirects &amp; Cutover Prep</t>
        </is>
      </c>
    </row>
    <row r="309">
      <c r="A309" s="4" t="n"/>
      <c r="B309" s="4" t="inlineStr">
        <is>
          <t>/brewsoul/browse hero readable (2026-10-08, owner said go ahead)</t>
        </is>
      </c>
      <c r="C309" s="13" t="inlineStr">
        <is>
          <t>Done</t>
        </is>
      </c>
      <c r="D309" s="4" t="inlineStr">
        <is>
          <t>a soft cream glow behind the title block so "The Catalog", the subtitle and the stat labels read clearly over the coffee photo (live is hard to read there too; rule 20). Photo still shows around the edges. Checked at 390/1280px.</t>
        </is>
      </c>
      <c r="E309" s="14" t="inlineStr">
        <is>
          <t>Phase 12 — SEO Hardening, Redirects &amp; Cutover Prep</t>
        </is>
      </c>
    </row>
    <row r="310">
      <c r="A310" s="10" t="inlineStr">
        <is>
          <t>Phase 13 — Images Needed in Sanity</t>
        </is>
      </c>
      <c r="B310" s="11" t="n"/>
      <c r="C310" s="11" t="n"/>
      <c r="D310" s="12" t="n"/>
    </row>
    <row r="311">
      <c r="A311" s="4" t="n"/>
      <c r="B311" s="4" t="inlineStr">
        <is>
          <t>Manus media rescue (2026-09-29)</t>
        </is>
      </c>
      <c r="C311" s="13" t="inlineStr">
        <is>
          <t>Done</t>
        </is>
      </c>
      <c r="D311"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1" s="14" t="inlineStr">
        <is>
          <t>Phase 13 — Images Needed in Sanity</t>
        </is>
      </c>
    </row>
    <row r="312">
      <c r="A312" s="4" t="n"/>
      <c r="B312" s="4" t="inlineStr">
        <is>
          <t>Favicon</t>
        </is>
      </c>
      <c r="C312" s="13" t="inlineStr">
        <is>
          <t>Done</t>
        </is>
      </c>
      <c r="D312" s="4" t="inlineStr">
        <is>
          <t>real "G" brand mark generated from the header's actual wordmark treatment (src/app/icon.tsx), see Phase 3</t>
        </is>
      </c>
      <c r="E312" s="14" t="inlineStr">
        <is>
          <t>Phase 13 — Images Needed in Sanity</t>
        </is>
      </c>
    </row>
    <row r="313">
      <c r="A313" s="4" t="n"/>
      <c r="B313" s="4" t="inlineStr">
        <is>
          <t>Site-wide: logo (light + dark) beyond the current text wordmark</t>
        </is>
      </c>
      <c r="C313" s="15" t="inlineStr">
        <is>
          <t>Remaining</t>
        </is>
      </c>
      <c r="D313" s="4" t="inlineStr">
        <is>
          <t>(Default/fallback OG image 1200×630 exists: public/images/default-og.png, checked 2026-10-02.)</t>
        </is>
      </c>
      <c r="E313" s="14" t="inlineStr">
        <is>
          <t>Phase 13 — Images Needed in Sanity</t>
        </is>
      </c>
    </row>
    <row r="314">
      <c r="A314" s="4" t="n"/>
      <c r="B314" s="4" t="inlineStr">
        <is>
          <t>Author photo(s) for blog author schema (Tony Greenberg headshot at minimum)</t>
        </is>
      </c>
      <c r="C314" s="13" t="inlineStr">
        <is>
          <t>Done</t>
        </is>
      </c>
      <c r="D314" s="4" t="inlineStr">
        <is>
          <t>2026-10-02: the rescued headshot is already the author avatar in Sanity; now also in every post's Article JSON-LD (author image + url /about). The JSON-LD publisher logo pointed at /favicon.ico, a 404 here; now /icon.</t>
        </is>
      </c>
      <c r="E314" s="14" t="inlineStr">
        <is>
          <t>Phase 13 — Images Needed in Sanity</t>
        </is>
      </c>
    </row>
    <row r="315">
      <c r="A315" s="4" t="n"/>
      <c r="B315" s="4" t="inlineStr">
        <is>
          <t>Blog hero images</t>
        </is>
      </c>
      <c r="C315" s="13" t="inlineStr">
        <is>
          <t>Done</t>
        </is>
      </c>
      <c r="D315" s="4" t="inlineStr">
        <is>
          <t>audited, then migrated. Final state:</t>
        </is>
      </c>
      <c r="E315" s="14" t="inlineStr">
        <is>
          <t>Phase 13 — Images Needed in Sanity</t>
        </is>
      </c>
    </row>
    <row r="316">
      <c r="A316" s="4" t="n"/>
      <c r="B316" s="4" t="inlineStr">
        <is>
          <t>22 posts have a real hero image, now live in Sanity (17 already on RampRate's own CloudFront + 4 rescued from the legacy /api/img/ proxy + 1…</t>
        </is>
      </c>
      <c r="C316" s="13" t="inlineStr">
        <is>
          <t>Done</t>
        </is>
      </c>
      <c r="D316" s="4" t="inlineStr">
        <is>
          <t xml:space="preserve"> rescued from /manus-storage/, all pulled over by migrate-blog-posts.ts before Manus is decommissioned)</t>
        </is>
      </c>
      <c r="E316" s="14" t="inlineStr">
        <is>
          <t>Phase 13 — Images Needed in Sanity</t>
        </is>
      </c>
    </row>
    <row r="317">
      <c r="A317" s="4" t="n"/>
      <c r="B317" s="4" t="inlineStr">
        <is>
          <t>7 more posts got a real, unique hero image rescued from the live legacy site's newly-added art this pass (scripts/rescue-2026-09-blog-images…</t>
        </is>
      </c>
      <c r="C317" s="13" t="inlineStr">
        <is>
          <t>Done</t>
        </is>
      </c>
      <c r="D317"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7" s="14" t="inlineStr">
        <is>
          <t>Phase 13 — Images Needed in Sanity</t>
        </is>
      </c>
    </row>
    <row r="318">
      <c r="A318" s="4" t="n"/>
      <c r="B318" s="4" t="inlineStr">
        <is>
          <t>92 posts still need a real, unique hero image</t>
        </is>
      </c>
      <c r="C318" s="15" t="inlineStr">
        <is>
          <t>Remaining</t>
        </is>
      </c>
      <c r="D3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8" s="14" t="inlineStr">
        <is>
          <t>Phase 13 — Images Needed in Sanity</t>
        </is>
      </c>
    </row>
    <row r="319">
      <c r="A319" s="4" t="n"/>
      <c r="B319" s="4" t="inlineStr">
        <is>
          <t>Blog: per-post OG image if different from hero (many posts can reuse hero as OG)</t>
        </is>
      </c>
      <c r="C319" s="13" t="inlineStr">
        <is>
          <t>Done</t>
        </is>
      </c>
      <c r="D319" s="4" t="inlineStr">
        <is>
          <t>Confirmed 2026-10-02: generateMetadata uses seo.ogImage, else the hero, else the default OG image.</t>
        </is>
      </c>
      <c r="E319" s="14" t="inlineStr">
        <is>
          <t>Phase 13 — Images Needed in Sanity</t>
        </is>
      </c>
    </row>
    <row r="320">
      <c r="A320" s="4" t="n"/>
      <c r="B320" s="4" t="inlineStr">
        <is>
          <t>Marketing pages</t>
        </is>
      </c>
      <c r="C320" s="13" t="inlineStr">
        <is>
          <t>Done</t>
        </is>
      </c>
      <c r="D320"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0" s="14" t="inlineStr">
        <is>
          <t>Phase 13 — Images Needed in Sanity</t>
        </is>
      </c>
    </row>
    <row r="321">
      <c r="A321" s="4" t="n"/>
      <c r="B321" s="4" t="inlineStr">
        <is>
          <t>/akbar essay images</t>
        </is>
      </c>
      <c r="C321" s="13" t="inlineStr">
        <is>
          <t>Done</t>
        </is>
      </c>
      <c r="D321"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1" s="14" t="inlineStr">
        <is>
          <t>Phase 13 — Images Needed in Sanity</t>
        </is>
      </c>
    </row>
    <row r="322">
      <c r="A322" s="4" t="n"/>
      <c r="B322" s="4" t="inlineStr">
        <is>
          <t>Rescued page images wired back in (2026-09-29)</t>
        </is>
      </c>
      <c r="C322" s="13" t="inlineStr">
        <is>
          <t>Done</t>
        </is>
      </c>
      <c r="D322"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2" s="14" t="inlineStr">
        <is>
          <t>Phase 13 — Images Needed in Sanity</t>
        </is>
      </c>
    </row>
    <row r="323">
      <c r="A323" s="4" t="n"/>
      <c r="B323" s="4" t="inlineStr">
        <is>
          <t>BrewSoul: coffee/product images (brewsoul-coffees-expanded.ts likely has image refs</t>
        </is>
      </c>
      <c r="C323" s="13" t="inlineStr">
        <is>
          <t>Done</t>
        </is>
      </c>
      <c r="D323"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3" s="14" t="inlineStr">
        <is>
          <t>Phase 13 — Images Needed in Sanity</t>
        </is>
      </c>
    </row>
    <row r="324">
      <c r="A324" s="4" t="n"/>
      <c r="B324" s="4" t="inlineStr">
        <is>
          <t>65 page images moved off the Manus storage copy into Sanity (2026-10-02)</t>
        </is>
      </c>
      <c r="C324" s="13" t="inlineStr">
        <is>
          <t>Done</t>
        </is>
      </c>
      <c r="D324"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4" s="14" t="inlineStr">
        <is>
          <t>Phase 13 — Images Needed in Sanity</t>
        </is>
      </c>
    </row>
    <row r="325">
      <c r="A325" s="4" t="n"/>
      <c r="B325" s="4" t="inlineStr">
        <is>
          <t>PRI/Kava: medicine reference images (medicine-images.ts), facility images for /facilitator-index</t>
        </is>
      </c>
      <c r="C325" s="13" t="inlineStr">
        <is>
          <t>Done</t>
        </is>
      </c>
      <c r="D325" s="4" t="inlineStr">
        <is>
          <t>2026-10-02: all in Sanity; image counts match live on PRI, Kava, Iboga, Peyote, facilitator pages.</t>
        </is>
      </c>
      <c r="E325" s="14" t="inlineStr">
        <is>
          <t>Phase 13 — Images Needed in Sanity</t>
        </is>
      </c>
    </row>
    <row r="326">
      <c r="A326" s="4" t="n"/>
      <c r="B326" s="4" t="inlineStr">
        <is>
          <t>Manifesto/Attention Theft: any diagram/illustration assets used on the mega-page</t>
        </is>
      </c>
      <c r="C326" s="13" t="inlineStr">
        <is>
          <t>Done</t>
        </is>
      </c>
      <c r="D326" s="4" t="inlineStr">
        <is>
          <t>2026-10-02: 6 of live's 7 are in (now in Sanity); the 7th belongs to the Wall of Shame section left out on purpose.</t>
        </is>
      </c>
      <c r="E326" s="14" t="inlineStr">
        <is>
          <t>Phase 13 — Images Needed in Sanity</t>
        </is>
      </c>
    </row>
    <row r="327">
      <c r="A327" s="4" t="n"/>
      <c r="B327" s="4" t="inlineStr">
        <is>
          <t>Assessment result-screen background art (flagged in STATUS.md as a known gap</t>
        </is>
      </c>
      <c r="C327" s="15" t="inlineStr">
        <is>
          <t>Remaining</t>
        </is>
      </c>
      <c r="D327" s="4" t="inlineStr">
        <is>
          <t>18/20 assessments currently have plain black backgrounds; sourcing themed art here also closes that gap)</t>
        </is>
      </c>
      <c r="E327" s="14" t="inlineStr">
        <is>
          <t>Phase 13 — Images Needed in Sanity</t>
        </is>
      </c>
    </row>
    <row r="328">
      <c r="A328" s="4" t="n"/>
      <c r="B328" s="4" t="inlineStr">
        <is>
          <t>Chatbot: FauxTony avatar/icon</t>
        </is>
      </c>
      <c r="C328" s="13" t="inlineStr">
        <is>
          <t>Done</t>
        </is>
      </c>
      <c r="D328" s="4" t="inlineStr">
        <is>
          <t>Not needed (2026-10-02): the chatbot phase (Phase 10) was cancelled.</t>
        </is>
      </c>
      <c r="E328" s="14" t="inlineStr">
        <is>
          <t>Phase 13 — Images Needed in Sanity</t>
        </is>
      </c>
    </row>
    <row r="329">
      <c r="A329" s="4" t="n"/>
      <c r="B329" s="4" t="inlineStr">
        <is>
          <t>Audit client/public/ (including alex-azzi/, brewsoul/ subfolders) for any static assets already sitting there unused that should be pulled i…</t>
        </is>
      </c>
      <c r="C329" s="13" t="inlineStr">
        <is>
          <t>Done</t>
        </is>
      </c>
      <c r="D329"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9" s="14" t="inlineStr">
        <is>
          <t>Phase 13 — Images Needed in Sanity</t>
        </is>
      </c>
    </row>
    <row r="330">
      <c r="A330" s="10" t="inlineStr">
        <is>
          <t>Phase 14 — QA &amp; Launch</t>
        </is>
      </c>
      <c r="B330" s="11" t="n"/>
      <c r="C330" s="11" t="n"/>
      <c r="D330" s="12" t="n"/>
    </row>
    <row r="331">
      <c r="A331" s="4" t="n"/>
      <c r="B331" s="4" t="inlineStr">
        <is>
          <t>Mobile responsive pass on every ported section</t>
        </is>
      </c>
      <c r="C331" s="15" t="inlineStr">
        <is>
          <t>Remaining</t>
        </is>
      </c>
      <c r="D33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1" s="14" t="inlineStr">
        <is>
          <t>Phase 14 — QA &amp; Launch</t>
        </is>
      </c>
    </row>
    <row r="332">
      <c r="A332" s="4" t="n"/>
      <c r="B332" s="4" t="inlineStr">
        <is>
          <t>Accessibility pass (WCAG AA contrast, 44px touch targets, keyboard nav)</t>
        </is>
      </c>
      <c r="C332" s="13" t="inlineStr">
        <is>
          <t>Done</t>
        </is>
      </c>
      <c r="D332"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2" s="14" t="inlineStr">
        <is>
          <t>Phase 14 — QA &amp; Launch</t>
        </is>
      </c>
    </row>
    <row r="333">
      <c r="A333" s="4" t="n"/>
      <c r="B333" s="4" t="inlineStr">
        <is>
          <t>No dead-end pages (every page links to 2+ others)</t>
        </is>
      </c>
      <c r="C333" s="15" t="inlineStr">
        <is>
          <t>Remaining</t>
        </is>
      </c>
      <c r="D33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33" s="14" t="inlineStr">
        <is>
          <t>Phase 14 — QA &amp; Launch</t>
        </is>
      </c>
    </row>
    <row r="334">
      <c r="A334" s="4" t="n"/>
      <c r="B334" s="4" t="inlineStr">
        <is>
          <t>Cross-browser check (Safari iOS in particular, per legacy performance notes) 2026-10-06 WebKit pass (Playwright WebKit, iPhone 13 profile, 1…</t>
        </is>
      </c>
      <c r="C334" s="15" t="inlineStr">
        <is>
          <t>Remaining</t>
        </is>
      </c>
      <c r="D33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4" s="14" t="inlineStr">
        <is>
          <t>Phase 14 — QA &amp; Launch</t>
        </is>
      </c>
    </row>
    <row r="335">
      <c r="A335" s="4" t="n"/>
      <c r="B335" s="4" t="inlineStr">
        <is>
          <t>Remove noindex only when sign-off is given</t>
        </is>
      </c>
      <c r="C335" s="15" t="inlineStr">
        <is>
          <t>Remaining</t>
        </is>
      </c>
      <c r="D335" s="4" t="inlineStr">
        <is>
          <t>do not launch indexable by accident (The only noindex is the host-based one for *.netlify.app above, so the real domain is indexable as soon as DNS points at it: sign-off must come before DNS.)</t>
        </is>
      </c>
      <c r="E335" s="14" t="inlineStr">
        <is>
          <t>Phase 14 — QA &amp; Launch</t>
        </is>
      </c>
    </row>
    <row r="336">
      <c r="A336" s="4" t="n"/>
      <c r="B336" s="4" t="inlineStr">
        <is>
          <t>Final stakeholder sign-off (Tony/Darryl/Kimberly) on the ported site before DNS cutover</t>
        </is>
      </c>
      <c r="C336" s="15" t="inlineStr">
        <is>
          <t>Remaining</t>
        </is>
      </c>
      <c r="D336" s="4" t="inlineStr"/>
      <c r="E336" s="14" t="inlineStr">
        <is>
          <t>Phase 14 — QA &amp; Launch</t>
        </is>
      </c>
    </row>
    <row r="337">
      <c r="A337" s="4" t="n"/>
      <c r="B337" s="4" t="inlineStr">
        <is>
          <t>DNS cutover, legacy app decommissioned only after a stable overlap window Checked 2026-10-09 (owner wants to go live and switch off Manus)</t>
        </is>
      </c>
      <c r="C337" s="15" t="inlineStr">
        <is>
          <t>Remaining</t>
        </is>
      </c>
      <c r="D337"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7" s="14" t="inlineStr">
        <is>
          <t>Phase 14 — QA &amp; Launch</t>
        </is>
      </c>
    </row>
  </sheetData>
  <autoFilter ref="A1:D337"/>
  <mergeCells count="14">
    <mergeCell ref="A211:D211"/>
    <mergeCell ref="A189:D189"/>
    <mergeCell ref="A243:D243"/>
    <mergeCell ref="A215:D215"/>
    <mergeCell ref="A310:D310"/>
    <mergeCell ref="A15:D15"/>
    <mergeCell ref="A64:D64"/>
    <mergeCell ref="A156:D156"/>
    <mergeCell ref="A2:D2"/>
    <mergeCell ref="A49:D49"/>
    <mergeCell ref="A129:D129"/>
    <mergeCell ref="A330:D330"/>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Old site's forms still simplified (decision, 2026-10-10)</t>
        </is>
      </c>
      <c r="C3" s="15" t="inlineStr">
        <is>
          <t>Remaining</t>
        </is>
      </c>
      <c r="D3"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t>
        </is>
      </c>
      <c r="E3" s="14" t="inlineStr">
        <is>
          <t>Phase 2 — Supabase</t>
        </is>
      </c>
    </row>
    <row r="4">
      <c r="A4" s="10" t="inlineStr">
        <is>
          <t>Phase 4 — Marketing Core Pages (30 routes)</t>
        </is>
      </c>
      <c r="B4" s="11" t="n"/>
      <c r="C4" s="11" t="n"/>
      <c r="D4" s="12" t="n"/>
    </row>
    <row r="5">
      <c r="A5" s="4" t="n"/>
      <c r="B5" s="4" t="inlineStr">
        <is>
          <t>/shop, /payment-success, /payment-cancel</t>
        </is>
      </c>
      <c r="C5" s="16" t="inlineStr">
        <is>
          <t>Deferred</t>
        </is>
      </c>
      <c r="D5" s="4" t="inlineStr">
        <is>
          <t>defer: these are Stripe-backed; flag for the later billing-migration phase, do not port checkout logic yet, static/informational content only if ported now</t>
        </is>
      </c>
      <c r="E5" s="14" t="inlineStr">
        <is>
          <t>Phase 4 — Marketing Core Pages (30 routes)</t>
        </is>
      </c>
    </row>
    <row r="6">
      <c r="A6" s="10" t="inlineStr">
        <is>
          <t>Phase 11 — Code MCP Server — REBUILT (2026-09-29)</t>
        </is>
      </c>
      <c r="B6" s="11" t="n"/>
      <c r="C6" s="11" t="n"/>
      <c r="D6" s="12" t="n"/>
    </row>
    <row r="7">
      <c r="A7" s="4" t="n"/>
      <c r="B7" s="4" t="inlineStr">
        <is>
          <t>Set GITHUB_TOKEN, MCP_ADMIN_USERS, MCP_LOGIN_PASSWORD, MCP_OAUTH_SECRET, MCP_SITE_ORIGIN, MCP_PUBLIC_ORIGIN in Netlify (done) (checked 2026-…</t>
        </is>
      </c>
      <c r="C7" s="15" t="inlineStr">
        <is>
          <t>Remaining</t>
        </is>
      </c>
      <c r="D7" s="4" t="inlineStr">
        <is>
          <t>10-07: all already set in Netlify). Left: connect Claude.ai to /api/mcp for real, and verify the GitHub flow end to end (branch → PR → deploy preview → publish_changes) against a real PR.</t>
        </is>
      </c>
      <c r="E7" s="14" t="inlineStr">
        <is>
          <t>Phase 11 — Code MCP Server — REBUILT (2026-09-29)</t>
        </is>
      </c>
    </row>
    <row r="8">
      <c r="A8" s="4" t="n"/>
      <c r="B8" s="4" t="inlineStr">
        <is>
          <t>Commit a team-wide .mcp.json (URL only) once the production URL is settled.</t>
        </is>
      </c>
      <c r="C8" s="15" t="inlineStr">
        <is>
          <t>Remaining</t>
        </is>
      </c>
      <c r="D8" s="4" t="inlineStr"/>
      <c r="E8" s="14" t="inlineStr">
        <is>
          <t>Phase 11 — Code MCP Server — REBUILT (2026-09-29)</t>
        </is>
      </c>
    </row>
    <row r="9">
      <c r="A9" s="4" t="n"/>
      <c r="B9" s="4" t="inlineStr">
        <is>
          <t>Blocked on you (Google)</t>
        </is>
      </c>
      <c r="C9" s="15" t="inlineStr">
        <is>
          <t>Remaining</t>
        </is>
      </c>
      <c r="D9"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9" s="14" t="inlineStr">
        <is>
          <t>Phase 11 — Code MCP Server — REBUILT (2026-09-29)</t>
        </is>
      </c>
    </row>
    <row r="10">
      <c r="A10" s="4" t="n"/>
      <c r="B10" s="4" t="inlineStr">
        <is>
          <t>Test the new review end to end on a deploy preview</t>
        </is>
      </c>
      <c r="C10" s="15" t="inlineStr">
        <is>
          <t>Remaining</t>
        </is>
      </c>
      <c r="D10" s="4" t="inlineStr">
        <is>
          <t>(needs a yes, it opens a real pull request): one throwaway change from Claude.ai or ChatGPT: start (unclear request, so the confirm step shows), confirm, edit, review card, screenshots, upload link, then discard.</t>
        </is>
      </c>
      <c r="E10" s="14" t="inlineStr">
        <is>
          <t>Phase 11 — Code MCP Server — REBUILT (2026-09-29)</t>
        </is>
      </c>
    </row>
    <row r="11">
      <c r="A11" s="10" t="inlineStr">
        <is>
          <t>Phase 12 — SEO Hardening, Redirects &amp; Cutover Prep</t>
        </is>
      </c>
      <c r="B11" s="11" t="n"/>
      <c r="C11" s="11" t="n"/>
      <c r="D11" s="12" t="n"/>
    </row>
    <row r="12">
      <c r="A12" s="4" t="n"/>
      <c r="B12" s="4" t="inlineStr">
        <is>
          <t>Lighthouse pass (performance/accessibility/SEO) on top 20 pages by traffic 2026-09-30, 20 key pages (no traffic data yet), local production …</t>
        </is>
      </c>
      <c r="C12" s="15" t="inlineStr">
        <is>
          <t>Remaining</t>
        </is>
      </c>
      <c r="D12"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2" s="14" t="inlineStr">
        <is>
          <t>Phase 12 — SEO Hardening, Redirects &amp; Cutover Prep</t>
        </is>
      </c>
    </row>
    <row r="13">
      <c r="A13" s="4" t="n"/>
      <c r="B13" s="4" t="inlineStr">
        <is>
          <t>SEO audit items needing a yes (2026-10-06)</t>
        </is>
      </c>
      <c r="C13" s="15" t="inlineStr">
        <is>
          <t>Remaining</t>
        </is>
      </c>
      <c r="D13"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3" s="14" t="inlineStr">
        <is>
          <t>Phase 12 — SEO Hardening, Redirects &amp; Cutover Prep</t>
        </is>
      </c>
    </row>
    <row r="14">
      <c r="A14" s="4" t="n"/>
      <c r="B14" s="4" t="inlineStr">
        <is>
          <t>Connect Google Search Console + GA4 to the new deployment on day one of cutover</t>
        </is>
      </c>
      <c r="C14" s="15" t="inlineStr">
        <is>
          <t>Remaining</t>
        </is>
      </c>
      <c r="D14" s="4" t="inlineStr"/>
      <c r="E14" s="14" t="inlineStr">
        <is>
          <t>Phase 12 — SEO Hardening, Redirects &amp; Cutover Prep</t>
        </is>
      </c>
    </row>
    <row r="15">
      <c r="A15" s="10" t="inlineStr">
        <is>
          <t>Phase 13 — Images Needed in Sanity</t>
        </is>
      </c>
      <c r="B15" s="11" t="n"/>
      <c r="C15" s="11" t="n"/>
      <c r="D15" s="12" t="n"/>
    </row>
    <row r="16">
      <c r="A16" s="4" t="n"/>
      <c r="B16" s="4" t="inlineStr">
        <is>
          <t>Site-wide: logo (light + dark) beyond the current text wordmark</t>
        </is>
      </c>
      <c r="C16" s="15" t="inlineStr">
        <is>
          <t>Remaining</t>
        </is>
      </c>
      <c r="D16" s="4" t="inlineStr">
        <is>
          <t>(Default/fallback OG image 1200×630 exists: public/images/default-og.png, checked 2026-10-02.)</t>
        </is>
      </c>
      <c r="E16" s="14" t="inlineStr">
        <is>
          <t>Phase 13 — Images Needed in Sanity</t>
        </is>
      </c>
    </row>
    <row r="17">
      <c r="A17" s="4" t="n"/>
      <c r="B17" s="4" t="inlineStr">
        <is>
          <t>92 posts still need a real, unique hero image</t>
        </is>
      </c>
      <c r="C17" s="15" t="inlineStr">
        <is>
          <t>Remaining</t>
        </is>
      </c>
      <c r="D17"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7" s="14" t="inlineStr">
        <is>
          <t>Phase 13 — Images Needed in Sanity</t>
        </is>
      </c>
    </row>
    <row r="18">
      <c r="A18" s="4" t="n"/>
      <c r="B18" s="4" t="inlineStr">
        <is>
          <t>Assessment result-screen background art (flagged in STATUS.md as a known gap</t>
        </is>
      </c>
      <c r="C18" s="15" t="inlineStr">
        <is>
          <t>Remaining</t>
        </is>
      </c>
      <c r="D18" s="4" t="inlineStr">
        <is>
          <t>18/20 assessments currently have plain black backgrounds; sourcing themed art here also closes that gap)</t>
        </is>
      </c>
      <c r="E18" s="14" t="inlineStr">
        <is>
          <t>Phase 13 — Images Needed in Sanity</t>
        </is>
      </c>
    </row>
    <row r="19">
      <c r="A19" s="10" t="inlineStr">
        <is>
          <t>Phase 14 — QA &amp; Launch</t>
        </is>
      </c>
      <c r="B19" s="11" t="n"/>
      <c r="C19" s="11" t="n"/>
      <c r="D19" s="12" t="n"/>
    </row>
    <row r="20">
      <c r="A20" s="4" t="n"/>
      <c r="B20" s="4" t="inlineStr">
        <is>
          <t>Mobile responsive pass on every ported section</t>
        </is>
      </c>
      <c r="C20" s="15" t="inlineStr">
        <is>
          <t>Remaining</t>
        </is>
      </c>
      <c r="D20"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0" s="14" t="inlineStr">
        <is>
          <t>Phase 14 — QA &amp; Launch</t>
        </is>
      </c>
    </row>
    <row r="21">
      <c r="A21" s="4" t="n"/>
      <c r="B21" s="4" t="inlineStr">
        <is>
          <t>No dead-end pages (every page links to 2+ others)</t>
        </is>
      </c>
      <c r="C21" s="15" t="inlineStr">
        <is>
          <t>Remaining</t>
        </is>
      </c>
      <c r="D21"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1" s="14" t="inlineStr">
        <is>
          <t>Phase 14 — QA &amp; Launch</t>
        </is>
      </c>
    </row>
    <row r="22">
      <c r="A22" s="4" t="n"/>
      <c r="B22" s="4" t="inlineStr">
        <is>
          <t>Cross-browser check (Safari iOS in particular, per legacy performance notes) 2026-10-06 WebKit pass (Playwright WebKit, iPhone 13 profile, 1…</t>
        </is>
      </c>
      <c r="C22" s="15" t="inlineStr">
        <is>
          <t>Remaining</t>
        </is>
      </c>
      <c r="D22"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2" s="14" t="inlineStr">
        <is>
          <t>Phase 14 — QA &amp; Launch</t>
        </is>
      </c>
    </row>
    <row r="23">
      <c r="A23" s="4" t="n"/>
      <c r="B23" s="4" t="inlineStr">
        <is>
          <t>Remove noindex only when sign-off is given</t>
        </is>
      </c>
      <c r="C23" s="15" t="inlineStr">
        <is>
          <t>Remaining</t>
        </is>
      </c>
      <c r="D23" s="4" t="inlineStr">
        <is>
          <t>do not launch indexable by accident (The only noindex is the host-based one for *.netlify.app above, so the real domain is indexable as soon as DNS points at it: sign-off must come before DNS.)</t>
        </is>
      </c>
      <c r="E23" s="14" t="inlineStr">
        <is>
          <t>Phase 14 — QA &amp; Launch</t>
        </is>
      </c>
    </row>
    <row r="24">
      <c r="A24" s="4" t="n"/>
      <c r="B24" s="4" t="inlineStr">
        <is>
          <t>Final stakeholder sign-off (Tony/Darryl/Kimberly) on the ported site before DNS cutover</t>
        </is>
      </c>
      <c r="C24" s="15" t="inlineStr">
        <is>
          <t>Remaining</t>
        </is>
      </c>
      <c r="D24" s="4" t="inlineStr"/>
      <c r="E24" s="14" t="inlineStr">
        <is>
          <t>Phase 14 — QA &amp; Launch</t>
        </is>
      </c>
    </row>
    <row r="25">
      <c r="A25" s="4" t="n"/>
      <c r="B25" s="4" t="inlineStr">
        <is>
          <t>DNS cutover, legacy app decommissioned only after a stable overlap window Checked 2026-10-09 (owner wants to go live and switch off Manus)</t>
        </is>
      </c>
      <c r="C25" s="15" t="inlineStr">
        <is>
          <t>Remaining</t>
        </is>
      </c>
      <c r="D25"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5" s="14" t="inlineStr">
        <is>
          <t>Phase 14 — QA &amp; Launch</t>
        </is>
      </c>
    </row>
  </sheetData>
  <autoFilter ref="A1:D25"/>
  <mergeCells count="6">
    <mergeCell ref="A6:D6"/>
    <mergeCell ref="A4:D4"/>
    <mergeCell ref="A15:D15"/>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2026-10-09T19:55:22Z</dcterms:created>
  <dcterms:modified xsi:type="dcterms:W3CDTF">2026-10-09T19:55:22Z</dcterms:modified>
</cp:coreProperties>
</file>