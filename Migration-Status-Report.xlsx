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Detail'!$A$1:$D$329</definedName>
    <definedName name="_xlnm._FilterDatabase" localSheetId="2" hidden="1">'Remaining Work'!$A$1:$D$26</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2026-10-09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Detail'!$E$2:$E$329,$A5,'Full Detail'!$C$2:$C$329,"Done")</f>
        <v/>
      </c>
      <c r="C5" s="5">
        <f>COUNTIFS('Full Detail'!$E$2:$E$329,$A5,'Full Detail'!$C$2:$C$329,"Remaining")</f>
        <v/>
      </c>
      <c r="D5" s="5">
        <f>COUNTIFS('Full Detail'!$E$2:$E$329,$A5,'Full Detail'!$C$2:$C$329,"Deferred")</f>
        <v/>
      </c>
      <c r="E5" s="5">
        <f>SUM(B5:D5)</f>
        <v/>
      </c>
      <c r="F5" s="6">
        <f>IF(E5=0,0,B5/E5)</f>
        <v/>
      </c>
    </row>
    <row r="6">
      <c r="A6" s="4" t="inlineStr">
        <is>
          <t>Phase 1 — Sanity Studio &amp; Schema</t>
        </is>
      </c>
      <c r="B6" s="5">
        <f>COUNTIFS('Full Detail'!$E$2:$E$329,$A6,'Full Detail'!$C$2:$C$329,"Done")</f>
        <v/>
      </c>
      <c r="C6" s="5">
        <f>COUNTIFS('Full Detail'!$E$2:$E$329,$A6,'Full Detail'!$C$2:$C$329,"Remaining")</f>
        <v/>
      </c>
      <c r="D6" s="5">
        <f>COUNTIFS('Full Detail'!$E$2:$E$329,$A6,'Full Detail'!$C$2:$C$329,"Deferred")</f>
        <v/>
      </c>
      <c r="E6" s="5">
        <f>SUM(B6:D6)</f>
        <v/>
      </c>
      <c r="F6" s="6">
        <f>IF(E6=0,0,B6/E6)</f>
        <v/>
      </c>
    </row>
    <row r="7">
      <c r="A7" s="4" t="inlineStr">
        <is>
          <t>Phase 2 — Supabase</t>
        </is>
      </c>
      <c r="B7" s="5">
        <f>COUNTIFS('Full Detail'!$E$2:$E$329,$A7,'Full Detail'!$C$2:$C$329,"Done")</f>
        <v/>
      </c>
      <c r="C7" s="5">
        <f>COUNTIFS('Full Detail'!$E$2:$E$329,$A7,'Full Detail'!$C$2:$C$329,"Remaining")</f>
        <v/>
      </c>
      <c r="D7" s="5">
        <f>COUNTIFS('Full Detail'!$E$2:$E$329,$A7,'Full Detail'!$C$2:$C$329,"Deferred")</f>
        <v/>
      </c>
      <c r="E7" s="5">
        <f>SUM(B7:D7)</f>
        <v/>
      </c>
      <c r="F7" s="6">
        <f>IF(E7=0,0,B7/E7)</f>
        <v/>
      </c>
    </row>
    <row r="8">
      <c r="A8" s="4" t="inlineStr">
        <is>
          <t>Phase 3 — Shared Layout &amp; Design System</t>
        </is>
      </c>
      <c r="B8" s="5">
        <f>COUNTIFS('Full Detail'!$E$2:$E$329,$A8,'Full Detail'!$C$2:$C$329,"Done")</f>
        <v/>
      </c>
      <c r="C8" s="5">
        <f>COUNTIFS('Full Detail'!$E$2:$E$329,$A8,'Full Detail'!$C$2:$C$329,"Remaining")</f>
        <v/>
      </c>
      <c r="D8" s="5">
        <f>COUNTIFS('Full Detail'!$E$2:$E$329,$A8,'Full Detail'!$C$2:$C$329,"Deferred")</f>
        <v/>
      </c>
      <c r="E8" s="5">
        <f>SUM(B8:D8)</f>
        <v/>
      </c>
      <c r="F8" s="6">
        <f>IF(E8=0,0,B8/E8)</f>
        <v/>
      </c>
    </row>
    <row r="9">
      <c r="A9" s="4" t="inlineStr">
        <is>
          <t>Phase 4 — Marketing Core Pages (30 routes)</t>
        </is>
      </c>
      <c r="B9" s="5">
        <f>COUNTIFS('Full Detail'!$E$2:$E$329,$A9,'Full Detail'!$C$2:$C$329,"Done")</f>
        <v/>
      </c>
      <c r="C9" s="5">
        <f>COUNTIFS('Full Detail'!$E$2:$E$329,$A9,'Full Detail'!$C$2:$C$329,"Remaining")</f>
        <v/>
      </c>
      <c r="D9" s="5">
        <f>COUNTIFS('Full Detail'!$E$2:$E$329,$A9,'Full Detail'!$C$2:$C$329,"Deferred")</f>
        <v/>
      </c>
      <c r="E9" s="5">
        <f>SUM(B9:D9)</f>
        <v/>
      </c>
      <c r="F9" s="6">
        <f>IF(E9=0,0,B9/E9)</f>
        <v/>
      </c>
    </row>
    <row r="10">
      <c r="A10" s="4" t="inlineStr">
        <is>
          <t>Phase 5 — Blog Engine (Sanity-backed)</t>
        </is>
      </c>
      <c r="B10" s="5">
        <f>COUNTIFS('Full Detail'!$E$2:$E$329,$A10,'Full Detail'!$C$2:$C$329,"Done")</f>
        <v/>
      </c>
      <c r="C10" s="5">
        <f>COUNTIFS('Full Detail'!$E$2:$E$329,$A10,'Full Detail'!$C$2:$C$329,"Remaining")</f>
        <v/>
      </c>
      <c r="D10" s="5">
        <f>COUNTIFS('Full Detail'!$E$2:$E$329,$A10,'Full Detail'!$C$2:$C$329,"Deferred")</f>
        <v/>
      </c>
      <c r="E10" s="5">
        <f>SUM(B10:D10)</f>
        <v/>
      </c>
      <c r="F10" s="6">
        <f>IF(E10=0,0,B10/E10)</f>
        <v/>
      </c>
    </row>
    <row r="11">
      <c r="A11" s="4" t="inlineStr">
        <is>
          <t>Phase 6 — BrewSoul (28 routes)</t>
        </is>
      </c>
      <c r="B11" s="5">
        <f>COUNTIFS('Full Detail'!$E$2:$E$329,$A11,'Full Detail'!$C$2:$C$329,"Done")</f>
        <v/>
      </c>
      <c r="C11" s="5">
        <f>COUNTIFS('Full Detail'!$E$2:$E$329,$A11,'Full Detail'!$C$2:$C$329,"Remaining")</f>
        <v/>
      </c>
      <c r="D11" s="5">
        <f>COUNTIFS('Full Detail'!$E$2:$E$329,$A11,'Full Detail'!$C$2:$C$329,"Deferred")</f>
        <v/>
      </c>
      <c r="E11" s="5">
        <f>SUM(B11:D11)</f>
        <v/>
      </c>
      <c r="F11" s="6">
        <f>IF(E11=0,0,B11/E11)</f>
        <v/>
      </c>
    </row>
    <row r="12">
      <c r="A12" s="4" t="inlineStr">
        <is>
          <t>Phase 7 — PRI &amp; Kava Encyclopedias (19 routes)</t>
        </is>
      </c>
      <c r="B12" s="5">
        <f>COUNTIFS('Full Detail'!$E$2:$E$329,$A12,'Full Detail'!$C$2:$C$329,"Done")</f>
        <v/>
      </c>
      <c r="C12" s="5">
        <f>COUNTIFS('Full Detail'!$E$2:$E$329,$A12,'Full Detail'!$C$2:$C$329,"Remaining")</f>
        <v/>
      </c>
      <c r="D12" s="5">
        <f>COUNTIFS('Full Detail'!$E$2:$E$329,$A12,'Full Detail'!$C$2:$C$329,"Deferred")</f>
        <v/>
      </c>
      <c r="E12" s="5">
        <f>SUM(B12:D12)</f>
        <v/>
      </c>
      <c r="F12" s="6">
        <f>IF(E12=0,0,B12/E12)</f>
        <v/>
      </c>
    </row>
    <row r="13">
      <c r="A13" s="4" t="inlineStr">
        <is>
          <t>Phase 8 — Attention Theft Manifesto (7 routes)</t>
        </is>
      </c>
      <c r="B13" s="5">
        <f>COUNTIFS('Full Detail'!$E$2:$E$329,$A13,'Full Detail'!$C$2:$C$329,"Done")</f>
        <v/>
      </c>
      <c r="C13" s="5">
        <f>COUNTIFS('Full Detail'!$E$2:$E$329,$A13,'Full Detail'!$C$2:$C$329,"Remaining")</f>
        <v/>
      </c>
      <c r="D13" s="5">
        <f>COUNTIFS('Full Detail'!$E$2:$E$329,$A13,'Full Detail'!$C$2:$C$329,"Deferred")</f>
        <v/>
      </c>
      <c r="E13" s="5">
        <f>SUM(B13:D13)</f>
        <v/>
      </c>
      <c r="F13" s="6">
        <f>IF(E13=0,0,B13/E13)</f>
        <v/>
      </c>
    </row>
    <row r="14">
      <c r="A14" s="4" t="inlineStr">
        <is>
          <t>Phase 9 — Assessments (33 routes)</t>
        </is>
      </c>
      <c r="B14" s="5">
        <f>COUNTIFS('Full Detail'!$E$2:$E$329,$A14,'Full Detail'!$C$2:$C$329,"Done")</f>
        <v/>
      </c>
      <c r="C14" s="5">
        <f>COUNTIFS('Full Detail'!$E$2:$E$329,$A14,'Full Detail'!$C$2:$C$329,"Remaining")</f>
        <v/>
      </c>
      <c r="D14" s="5">
        <f>COUNTIFS('Full Detail'!$E$2:$E$329,$A14,'Full Detail'!$C$2:$C$329,"Deferred")</f>
        <v/>
      </c>
      <c r="E14" s="5">
        <f>SUM(B14:D14)</f>
        <v/>
      </c>
      <c r="F14" s="6">
        <f>IF(E14=0,0,B14/E14)</f>
        <v/>
      </c>
    </row>
    <row r="15">
      <c r="A15" s="4" t="inlineStr">
        <is>
          <t>Phase 10 — FauxTony Chatbot — CANCELLED (2026-09-10)</t>
        </is>
      </c>
      <c r="B15" s="5">
        <f>COUNTIFS('Full Detail'!$E$2:$E$329,$A15,'Full Detail'!$C$2:$C$329,"Done")</f>
        <v/>
      </c>
      <c r="C15" s="5">
        <f>COUNTIFS('Full Detail'!$E$2:$E$329,$A15,'Full Detail'!$C$2:$C$329,"Remaining")</f>
        <v/>
      </c>
      <c r="D15" s="5">
        <f>COUNTIFS('Full Detail'!$E$2:$E$329,$A15,'Full Detail'!$C$2:$C$329,"Deferred")</f>
        <v/>
      </c>
      <c r="E15" s="5">
        <f>SUM(B15:D15)</f>
        <v/>
      </c>
      <c r="F15" s="6">
        <f>IF(E15=0,0,B15/E15)</f>
        <v/>
      </c>
    </row>
    <row r="16">
      <c r="A16" s="4" t="inlineStr">
        <is>
          <t>Phase 11 — Code MCP Server — REBUILT (2026-09-29)</t>
        </is>
      </c>
      <c r="B16" s="5">
        <f>COUNTIFS('Full Detail'!$E$2:$E$329,$A16,'Full Detail'!$C$2:$C$329,"Done")</f>
        <v/>
      </c>
      <c r="C16" s="5">
        <f>COUNTIFS('Full Detail'!$E$2:$E$329,$A16,'Full Detail'!$C$2:$C$329,"Remaining")</f>
        <v/>
      </c>
      <c r="D16" s="5">
        <f>COUNTIFS('Full Detail'!$E$2:$E$329,$A16,'Full Detail'!$C$2:$C$329,"Deferred")</f>
        <v/>
      </c>
      <c r="E16" s="5">
        <f>SUM(B16:D16)</f>
        <v/>
      </c>
      <c r="F16" s="6">
        <f>IF(E16=0,0,B16/E16)</f>
        <v/>
      </c>
    </row>
    <row r="17">
      <c r="A17" s="4" t="inlineStr">
        <is>
          <t>Phase 12 — SEO Hardening, Redirects &amp; Cutover Prep</t>
        </is>
      </c>
      <c r="B17" s="5">
        <f>COUNTIFS('Full Detail'!$E$2:$E$329,$A17,'Full Detail'!$C$2:$C$329,"Done")</f>
        <v/>
      </c>
      <c r="C17" s="5">
        <f>COUNTIFS('Full Detail'!$E$2:$E$329,$A17,'Full Detail'!$C$2:$C$329,"Remaining")</f>
        <v/>
      </c>
      <c r="D17" s="5">
        <f>COUNTIFS('Full Detail'!$E$2:$E$329,$A17,'Full Detail'!$C$2:$C$329,"Deferred")</f>
        <v/>
      </c>
      <c r="E17" s="5">
        <f>SUM(B17:D17)</f>
        <v/>
      </c>
      <c r="F17" s="6">
        <f>IF(E17=0,0,B17/E17)</f>
        <v/>
      </c>
    </row>
    <row r="18">
      <c r="A18" s="4" t="inlineStr">
        <is>
          <t>Phase 13 — Images Needed in Sanity</t>
        </is>
      </c>
      <c r="B18" s="5">
        <f>COUNTIFS('Full Detail'!$E$2:$E$329,$A18,'Full Detail'!$C$2:$C$329,"Done")</f>
        <v/>
      </c>
      <c r="C18" s="5">
        <f>COUNTIFS('Full Detail'!$E$2:$E$329,$A18,'Full Detail'!$C$2:$C$329,"Remaining")</f>
        <v/>
      </c>
      <c r="D18" s="5">
        <f>COUNTIFS('Full Detail'!$E$2:$E$329,$A18,'Full Detail'!$C$2:$C$329,"Deferred")</f>
        <v/>
      </c>
      <c r="E18" s="5">
        <f>SUM(B18:D18)</f>
        <v/>
      </c>
      <c r="F18" s="6">
        <f>IF(E18=0,0,B18/E18)</f>
        <v/>
      </c>
    </row>
    <row r="19">
      <c r="A19" s="4" t="inlineStr">
        <is>
          <t>Phase 14 — QA &amp; Launch</t>
        </is>
      </c>
      <c r="B19" s="5">
        <f>COUNTIFS('Full Detail'!$E$2:$E$329,$A19,'Full Detail'!$C$2:$C$329,"Done")</f>
        <v/>
      </c>
      <c r="C19" s="5">
        <f>COUNTIFS('Full Detail'!$E$2:$E$329,$A19,'Full Detail'!$C$2:$C$329,"Remaining")</f>
        <v/>
      </c>
      <c r="D19" s="5">
        <f>COUNTIFS('Full Detail'!$E$2:$E$329,$A19,'Full Detail'!$C$2:$C$329,"Deferred")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9"/>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4" t="n"/>
      <c r="B256" s="4" t="inlineStr">
        <is>
          <t>Synced with ramprate-ui's MCP server (2026-10-09, owner asked; card included by their choice)</t>
        </is>
      </c>
      <c r="C256" s="13" t="inlineStr">
        <is>
          <t>Done</t>
        </is>
      </c>
      <c r="D256" s="4" t="inlineStr">
        <is>
          <t>the review card for ChatGPT/Claude (one status and next step, Build / Type check / Lint / GitHub / phone-and-laptop checks, "what goes live" and what doesn't, Preview / Discard / Publish / Retry, history with Restore); start_change restates the request (understood_as) and unclear ones wait for the person's OK (confirm_change); before (live) / after (preview) screenshots on phone and laptop; attached images and files (ChatGPT file, or request_upload_link, a private 30-minute upload page at /api/mcp/upload, size and real-type checked); every change result lists the other waiting changes and the AI ends its reply with them (new Status Report line); the server lints changed files itself; ESLint now traced into the deployed function (serverExternalPackages; ramprate's tracing globs crash Turbopack under pnpm, left out). Everything named for tonygreenberg.com only (Netlify tonygreenberg-website, live tonygreenberg.com, card ui://tonygreenberg-admin/...). Verified on a local production build: type check, lint, build; 30 tools listed; card served and its script valid; rules include migrationStatus; list_pending_changes returns other pending changes; check_code_quality runs ESLint; upload page refuses bad links (401). See docs/ai/project_mcp_server.md.</t>
        </is>
      </c>
      <c r="E256" s="14" t="inlineStr">
        <is>
          <t>Phase 11 — Code MCP Server — REBUILT (2026-09-29)</t>
        </is>
      </c>
    </row>
    <row r="257">
      <c r="A257" s="4" t="n"/>
      <c r="B257" s="4" t="inlineStr">
        <is>
          <t>Test the new review end to end on a deploy preview</t>
        </is>
      </c>
      <c r="C257" s="15" t="inlineStr">
        <is>
          <t>Remaining</t>
        </is>
      </c>
      <c r="D257" s="4" t="inlineStr">
        <is>
          <t>(needs a yes, it opens a real pull request): one throwaway change from Claude.ai or ChatGPT: start (unclear request, so the confirm step shows), confirm, edit, review card, screenshots, upload link, then discard.</t>
        </is>
      </c>
      <c r="E257" s="14" t="inlineStr">
        <is>
          <t>Phase 11 — Code MCP Server — REBUILT (2026-09-29)</t>
        </is>
      </c>
    </row>
    <row r="258">
      <c r="A258" s="10" t="inlineStr">
        <is>
          <t>Phase 12 — SEO Hardening, Redirects &amp; Cutover Prep</t>
        </is>
      </c>
      <c r="B258" s="11" t="n"/>
      <c r="C258" s="11" t="n"/>
      <c r="D258" s="12" t="n"/>
    </row>
    <row r="259">
      <c r="A259" s="4" t="n"/>
      <c r="B259" s="4" t="inlineStr">
        <is>
          <t>Per-page generateMetadata (title, description, OG, Twitter Card, canonical) for every ported route, sourced from Sanity seo object where con…</t>
        </is>
      </c>
      <c r="C259" s="13" t="inlineStr">
        <is>
          <t>Done</t>
        </is>
      </c>
      <c r="D259"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9" s="14" t="inlineStr">
        <is>
          <t>Phase 12 — SEO Hardening, Redirects &amp; Cutover Prep</t>
        </is>
      </c>
    </row>
    <row r="260">
      <c r="A260" s="4" t="n"/>
      <c r="B260" s="4" t="inlineStr">
        <is>
          <t>sitemap.ts generated from real Sanity content + static route list, auto-updates on publish</t>
        </is>
      </c>
      <c r="C260" s="13" t="inlineStr">
        <is>
          <t>Done</t>
        </is>
      </c>
      <c r="D260"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60" s="14" t="inlineStr">
        <is>
          <t>Phase 12 — SEO Hardening, Redirects &amp; Cutover Prep</t>
        </is>
      </c>
    </row>
    <row r="261">
      <c r="A261" s="4" t="n"/>
      <c r="B261" s="4" t="inlineStr">
        <is>
          <t>llms.txt</t>
        </is>
      </c>
      <c r="C261" s="13" t="inlineStr">
        <is>
          <t>Done</t>
        </is>
      </c>
      <c r="D261" s="4" t="inlineStr">
        <is>
          <t>fetched verbatim from the still-live site and saved to web/public/llms.txt (real content: Tony's bio, expertise, full article index by category, every product/tool section) — do this before Manus goes away, it won't be recoverable after</t>
        </is>
      </c>
      <c r="E261" s="14" t="inlineStr">
        <is>
          <t>Phase 12 — SEO Hardening, Redirects &amp; Cutover Prep</t>
        </is>
      </c>
    </row>
    <row r="262">
      <c r="A262" s="4" t="n"/>
      <c r="B262" s="4" t="inlineStr">
        <is>
          <t>robots.txt</t>
        </is>
      </c>
      <c r="C262" s="13" t="inlineStr">
        <is>
          <t>Done</t>
        </is>
      </c>
      <c r="D262"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2" s="14" t="inlineStr">
        <is>
          <t>Phase 12 — SEO Hardening, Redirects &amp; Cutover Prep</t>
        </is>
      </c>
    </row>
    <row r="263">
      <c r="A263" s="4" t="n"/>
      <c r="B263" s="4" t="inlineStr">
        <is>
          <t>JSON-LD</t>
        </is>
      </c>
      <c r="C263" s="13" t="inlineStr">
        <is>
          <t>Done</t>
        </is>
      </c>
      <c r="D263"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3" s="14" t="inlineStr">
        <is>
          <t>Phase 12 — SEO Hardening, Redirects &amp; Cutover Prep</t>
        </is>
      </c>
    </row>
    <row r="264">
      <c r="A264" s="4" t="n"/>
      <c r="B264" s="4" t="inlineStr">
        <is>
          <t>Article JSON-LD on /blog/[slug], built from real per-post Sanity data (headline, image, datePublished/dateModified, author, canonical URL)</t>
        </is>
      </c>
      <c r="C264" s="13" t="inlineStr">
        <is>
          <t>Done</t>
        </is>
      </c>
      <c r="D264" s="4" t="inlineStr">
        <is>
          <t>verified live on a real post</t>
        </is>
      </c>
      <c r="E264" s="14" t="inlineStr">
        <is>
          <t>Phase 12 — SEO Hardening, Redirects &amp; Cutover Prep</t>
        </is>
      </c>
    </row>
    <row r="265">
      <c r="A265" s="4" t="n"/>
      <c r="B265" s="4" t="inlineStr">
        <is>
          <t>Build the full Manus/legacy-URL → Next.js-URL 301 redirect map (next.config.ts redirects() or Sanity redirect documents)</t>
        </is>
      </c>
      <c r="C265" s="13" t="inlineStr">
        <is>
          <t>Done</t>
        </is>
      </c>
      <c r="D265" s="4" t="inlineStr">
        <is>
          <t>hard QA gate, nothing proceeds to DNS cutover until this is complete and tested. First real pass done: extracted all 197 real path= routes from legacy's App.tsx router (not guessed — the actual route table), diffed against this app's real current routes (find src/app -maxdepth 1 -name page.tsx) + next.config.ts's existing redirect sources, normalizing :param/[param] syntax to compare like-for-like. Started at 41 real gaps, closed 10 with new redirects: /attention-theft/{blocker-finder,legal,report,weapons} (legacy registered both a bare AND a /attention-theft/-nested path for each, only the bare ones had redirects before), /find-my-car → /find-my, /the-index → /search (matching the fix already applied to other pages' dead links to it), /supplier-intake-long (bare) + /vendor-intake + /vendor-intake-long (+/:token) → the same real ramprate.com/biochain/supplier-intake destination the token'd path already redirected to, and /spamtoast + /youve-been-reported → / (the live half of legacy's "report a spammer" confrontation flow — a fake IP-fingerprinting/countdown-timer page; the other half, ReportSpammer.tsx, was already a documented drop in Phase 4, this is the same call for its sequel). 21 of the remaining 31 gaps need no redirect — they're /admin/*//analytics//edit/frqncy (internal tools never meant for public discovery) or already-documented intentional defers from Phase 4/7/10 (/clock-keeper-part-2, /ecosystem-map, /friend-gate, /friend-survey/:token, /medicine-sequencing, /m</t>
        </is>
      </c>
      <c r="E265" s="14" t="inlineStr">
        <is>
          <t>Phase 12 — SEO Hardening, Redirects &amp; Cutover Prep</t>
        </is>
      </c>
    </row>
    <row r="266">
      <c r="A266" s="4" t="n"/>
      <c r="B266" s="4" t="inlineStr">
        <is>
          <t>/path/:archetype (src/app/path/[archetype]/page.tsx)</t>
        </is>
      </c>
      <c r="C266" s="13" t="inlineStr">
        <is>
          <t>Done</t>
        </is>
      </c>
      <c r="D266"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6" s="14" t="inlineStr">
        <is>
          <t>Phase 12 — SEO Hardening, Redirects &amp; Cutover Prep</t>
        </is>
      </c>
    </row>
    <row r="267">
      <c r="A267" s="4" t="n"/>
      <c r="B267" s="4" t="inlineStr">
        <is>
          <t>/my-journey (src/app/my-journey/page.tsx + components/assessments/my-journey-dashboard.tsx)</t>
        </is>
      </c>
      <c r="C267" s="13" t="inlineStr">
        <is>
          <t>Done</t>
        </is>
      </c>
      <c r="D267"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7" s="14" t="inlineStr">
        <is>
          <t>Phase 12 — SEO Hardening, Redirects &amp; Cutover Prep</t>
        </is>
      </c>
    </row>
    <row r="268">
      <c r="A268" s="4" t="n"/>
      <c r="B268" s="4" t="inlineStr">
        <is>
          <t>/the-open-door (src/app/the-open-door/page.tsx)</t>
        </is>
      </c>
      <c r="C268" s="13" t="inlineStr">
        <is>
          <t>Done</t>
        </is>
      </c>
      <c r="D268"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8" s="14" t="inlineStr">
        <is>
          <t>Phase 12 — SEO Hardening, Redirects &amp; Cutover Prep</t>
        </is>
      </c>
    </row>
    <row r="269">
      <c r="A269" s="4" t="n"/>
      <c r="B269" s="4" t="inlineStr">
        <is>
          <t>Homepage "Recent Updates" band (2026-09-29)</t>
        </is>
      </c>
      <c r="C269" s="13" t="inlineStr">
        <is>
          <t>Done</t>
        </is>
      </c>
      <c r="D269"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9" s="14" t="inlineStr">
        <is>
          <t>Phase 12 — SEO Hardening, Redirects &amp; Cutover Prep</t>
        </is>
      </c>
    </row>
    <row r="270">
      <c r="A270" s="4" t="n"/>
      <c r="B270" s="4" t="inlineStr">
        <is>
          <t>Re-sync the legacy reference</t>
        </is>
      </c>
      <c r="C270" s="13" t="inlineStr">
        <is>
          <t>Done</t>
        </is>
      </c>
      <c r="D270"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70" s="14" t="inlineStr">
        <is>
          <t>Phase 12 — SEO Hardening, Redirects &amp; Cutover Prep</t>
        </is>
      </c>
    </row>
    <row r="271">
      <c r="A271" s="4" t="n"/>
      <c r="B271" s="4" t="inlineStr">
        <is>
          <t>Visual diff pass: every ported page vs</t>
        </is>
      </c>
      <c r="C271" s="13" t="inlineStr">
        <is>
          <t>Done</t>
        </is>
      </c>
      <c r="D271"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71" s="14" t="inlineStr">
        <is>
          <t>Phase 12 — SEO Hardening, Redirects &amp; Cutover Prep</t>
        </is>
      </c>
    </row>
    <row r="272">
      <c r="A272" s="4" t="n"/>
      <c r="B272" s="4" t="inlineStr">
        <is>
          <t>Padding / spacing on the story pages matched to live (2026-10-01)</t>
        </is>
      </c>
      <c r="C272" s="13" t="inlineStr">
        <is>
          <t>Done</t>
        </is>
      </c>
      <c r="D272"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72" s="14" t="inlineStr">
        <is>
          <t>Phase 12 — SEO Hardening, Redirects &amp; Cutover Prep</t>
        </is>
      </c>
    </row>
    <row r="273">
      <c r="A273" s="4" t="n"/>
      <c r="B273" s="4" t="inlineStr">
        <is>
          <t>Header-to-title spacing re-checked (2026-10-02)</t>
        </is>
      </c>
      <c r="C273" s="13" t="inlineStr">
        <is>
          <t>Done</t>
        </is>
      </c>
      <c r="D273"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3" s="14" t="inlineStr">
        <is>
          <t>Phase 12 — SEO Hardening, Redirects &amp; Cutover Prep</t>
        </is>
      </c>
    </row>
    <row r="274">
      <c r="A274" s="4" t="n"/>
      <c r="B274" s="4" t="inlineStr">
        <is>
          <t>HumanOS headings in capitals like live (2026-10-02, owner said yes)</t>
        </is>
      </c>
      <c r="C274" s="13" t="inlineStr">
        <is>
          <t>Done</t>
        </is>
      </c>
      <c r="D274" s="4" t="inlineStr">
        <is>
          <t>the 4 headings live capitalises on /humanos (title, "Are you a Maximizer...", "Take the Diagnostic", "The Diagnostic") get uppercase; the words are unchanged. The subpages already matched.</t>
        </is>
      </c>
      <c r="E274" s="14" t="inlineStr">
        <is>
          <t>Phase 12 — SEO Hardening, Redirects &amp; Cutover Prep</t>
        </is>
      </c>
    </row>
    <row r="275">
      <c r="A275" s="4" t="n"/>
      <c r="B275" s="4" t="inlineStr">
        <is>
          <t>More layout gaps matched to live (2026-10-02)</t>
        </is>
      </c>
      <c r="C275" s="13" t="inlineStr">
        <is>
          <t>Done</t>
        </is>
      </c>
      <c r="D275"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5" s="14" t="inlineStr">
        <is>
          <t>Phase 12 — SEO Hardening, Redirects &amp; Cutover Prep</t>
        </is>
      </c>
    </row>
    <row r="276">
      <c r="A276" s="4" t="n"/>
      <c r="B276" s="4" t="inlineStr">
        <is>
          <t>Full sweep vs live (2026-10-02)</t>
        </is>
      </c>
      <c r="C276" s="13" t="inlineStr">
        <is>
          <t>Done</t>
        </is>
      </c>
      <c r="D276"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6" s="14" t="inlineStr">
        <is>
          <t>Phase 12 — SEO Hardening, Redirects &amp; Cutover Prep</t>
        </is>
      </c>
    </row>
    <row r="277">
      <c r="A277" s="4" t="n"/>
      <c r="B277" s="4" t="inlineStr">
        <is>
          <t>Sweep leftovers fixed (2026-10-06)</t>
        </is>
      </c>
      <c r="C277" s="13" t="inlineStr">
        <is>
          <t>Done</t>
        </is>
      </c>
      <c r="D277"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7" s="14" t="inlineStr">
        <is>
          <t>Phase 12 — SEO Hardening, Redirects &amp; Cutover Prep</t>
        </is>
      </c>
    </row>
    <row r="278">
      <c r="A278" s="4" t="n"/>
      <c r="B278" s="4" t="inlineStr">
        <is>
          <t>Match live's redesigned pages (2026-10-06, owner said go)</t>
        </is>
      </c>
      <c r="C278" s="13" t="inlineStr">
        <is>
          <t>Done</t>
        </is>
      </c>
      <c r="D278"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8" s="14" t="inlineStr">
        <is>
          <t>Phase 12 — SEO Hardening, Redirects &amp; Cutover Prep</t>
        </is>
      </c>
    </row>
    <row r="279">
      <c r="A279" s="4" t="n"/>
      <c r="B279" s="4" t="inlineStr">
        <is>
          <t>Still different from live (decided 2026-10-09)</t>
        </is>
      </c>
      <c r="C279" s="13" t="inlineStr">
        <is>
          <t>Done</t>
        </is>
      </c>
      <c r="D279" s="4" t="inlineStr">
        <is>
          <t>blog posts (done) (done 2026-10-07, see Phase 5); /find-my on live hides the site header. /walk-through is a 404 on live now. Owner: keep our site menu on /find-my (visitors can still reach the rest of the site); nothing left to change.</t>
        </is>
      </c>
      <c r="E279" s="14" t="inlineStr">
        <is>
          <t>Phase 12 — SEO Hardening, Redirects &amp; Cutover Prep</t>
        </is>
      </c>
    </row>
    <row r="280">
      <c r="A280" s="4" t="n"/>
      <c r="B280" s="4" t="inlineStr">
        <is>
          <t>Design change on live (owner: "match live", 2026-10-09)</t>
        </is>
      </c>
      <c r="C280" s="13" t="inlineStr">
        <is>
          <t>Done</t>
        </is>
      </c>
      <c r="D280" s="4" t="inlineStr">
        <is>
          <t>live's story pages now use Cormorant Garamond for titles (ours: Playfair Display), a lighter title weight (400 vs our 700), and a red eyebrow label (#8E1E25, wider letter spacing) instead of our gold. A site-wide font swap is a design call, so not done. Done 2026-10-09: a fresh sweep of 163 live pages found live has since dropped Cormorant from the story pages (only /living-declaration uses it, ours already matched) and mostly uses Playfair; the real differences were fixed: every heading on /attention-theft in Fraunces 700 (section-wide, like Kava), /supplier-intake title in the system serif, and live's fluid title sizes on /about, /articles, /the-letter, /the-philosophy, /clock-keeper-part-2, /living-declaration (measured at 375/640/820/1024/1280, now identical). Label colours stay darker than live on purpose (contrast, rule 20).</t>
        </is>
      </c>
      <c r="E280" s="14" t="inlineStr">
        <is>
          <t>Phase 12 — SEO Hardening, Redirects &amp; Cutover Prep</t>
        </is>
      </c>
    </row>
    <row r="281">
      <c r="A281" s="4" t="n"/>
      <c r="B281" s="4" t="inlineStr">
        <is>
          <t>Link check across all ported pages (no 404s, no broken internal cross-references)</t>
        </is>
      </c>
      <c r="C281" s="13" t="inlineStr">
        <is>
          <t>Done</t>
        </is>
      </c>
      <c r="D281"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81" s="14" t="inlineStr">
        <is>
          <t>Phase 12 — SEO Hardening, Redirects &amp; Cutover Prep</t>
        </is>
      </c>
    </row>
    <row r="282">
      <c r="A282" s="4" t="n"/>
      <c r="B282" s="4" t="inlineStr">
        <is>
          <t>Sitemap: no noindex pages (2026-10-08)</t>
        </is>
      </c>
      <c r="C282" s="13" t="inlineStr">
        <is>
          <t>Done</t>
        </is>
      </c>
      <c r="D282"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82" s="14" t="inlineStr">
        <is>
          <t>Phase 12 — SEO Hardening, Redirects &amp; Cutover Prep</t>
        </is>
      </c>
    </row>
    <row r="283">
      <c r="A283" s="4" t="n"/>
      <c r="B283" s="4" t="inlineStr">
        <is>
          <t>Lighthouse pass (performance/accessibility/SEO) on top 20 pages by traffic 2026-09-30, 20 key pages (no traffic data yet), local production …</t>
        </is>
      </c>
      <c r="C283" s="15" t="inlineStr">
        <is>
          <t>Remaining</t>
        </is>
      </c>
      <c r="D28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3" s="14" t="inlineStr">
        <is>
          <t>Phase 12 — SEO Hardening, Redirects &amp; Cutover Prep</t>
        </is>
      </c>
    </row>
    <row r="284">
      <c r="A284" s="4" t="n"/>
      <c r="B284" s="4" t="inlineStr">
        <is>
          <t>Owner answers, round 2 (2026-10-09)</t>
        </is>
      </c>
      <c r="C284" s="13" t="inlineStr">
        <is>
          <t>Done</t>
        </is>
      </c>
      <c r="D284" s="4" t="inlineStr">
        <is>
          <t>(1) real counts instead of live's typed numbers: /charity-scorecard intro and description ("98"/"Ninety-eight" → STATS.totalCharities = 103), /impact-dashboard ("100" → passed in from the page so the browser doesn't load the charity list), /the-index (prop), search directory coffees 103 → 107 (typed, with a note, since it ships to the search pop-up); (2) The Mirror results no longer list the 4 *.manus.space apps (the "Explore further" section hides when empty); (3) /framework's "Ask FauxTony" button and its lead-in line removed; the Dr. Lee case-file link (4 places in when-healing-becomes-extraction, original and updated versions) renders as plain text through a DEAD_INTERNAL_LINKS list in lib/sanity/portable-text.tsx (no Sanity draft needed); (4) B Corp: checked live, nothing shown on either site, no change. Verified on a production build: the counts read 103, /framework has no FauxTony block, the essay has 0 links to the case file and keeps the words, /the-index shows "103 charities" when searching "charity".</t>
        </is>
      </c>
      <c r="E284" s="14" t="inlineStr">
        <is>
          <t>Phase 12 — SEO Hardening, Redirects &amp; Cutover Prep</t>
        </is>
      </c>
    </row>
    <row r="285">
      <c r="A285" s="4" t="n"/>
      <c r="B285" s="4" t="inlineStr">
        <is>
          <t>Arrows in buttons and links are icons (2026-10-09, owner said yes)</t>
        </is>
      </c>
      <c r="C285" s="13" t="inlineStr">
        <is>
          <t>Done</t>
        </is>
      </c>
      <c r="D285" s="4" t="inlineStr">
        <is>
          <t>113 typed arrows in 52 files (button and link labels, "Next"/"See My Results" toggles, decorative arrow spans, the walk-through "See the..." labels, the Letter's "I'm in" button) replaced with lucide ArrowRight/ArrowLeft (size-[1em], inside inline-flex items-center gap-1.5, so the parent layout is untouched). Left as content on purpose: arrows inside Tony's text and data (health findings, origins, iboga compass options, process flows like "Inherit → Wake → Choose → Act", share text), the "← you" marker on the consciousness scale, and &lt;option&gt; sort labels (an option can't hold an icon). Checked on 16 pages at 375 and 1280: no typed arrow left in any link or button, no sideways scroll, no JS errors; close-up screenshots of the new icons.</t>
        </is>
      </c>
      <c r="E285" s="14" t="inlineStr">
        <is>
          <t>Phase 12 — SEO Hardening, Redirects &amp; Cutover Prep</t>
        </is>
      </c>
    </row>
    <row r="286">
      <c r="A286" s="4" t="n"/>
      <c r="B286" s="4" t="inlineStr">
        <is>
          <t>Category pages pre-built (2026-10-09)</t>
        </is>
      </c>
      <c r="C286" s="13" t="inlineStr">
        <is>
          <t>Done</t>
        </is>
      </c>
      <c r="D286" s="4" t="inlineStr">
        <is>
          <t>/blog/category/[slug] read ?page=N, so every category page was rendered on each request (slower first byte, flagged in the Lighthouse notes). Page numbers are now part of the address (/blog/category/&lt;slug&gt;/page/&lt;n&gt;, generateStaticParams, dynamicParams = false), shared code in src/components/blog/category-listing.tsx; old ?page=N links 308 to the new address (pages 2+ only, so no loop), /page/1 308s to the plain address, a page past the end is a 404; "All essays" back link uses an icon. Verified on a production build: route table shows every category page as pre-built (9 page-1s, 7 later pages), titles and canonicals per page, Previous/Next links, the redirects and the 404s.</t>
        </is>
      </c>
      <c r="E286" s="14" t="inlineStr">
        <is>
          <t>Phase 12 — SEO Hardening, Redirects &amp; Cutover Prep</t>
        </is>
      </c>
    </row>
    <row r="287">
      <c r="A287" s="4" t="n"/>
      <c r="B287" s="4" t="inlineStr">
        <is>
          <t>Error pages (2026-10-09, owner asked)</t>
        </is>
      </c>
      <c r="C287" s="13" t="inlineStr">
        <is>
          <t>Done</t>
        </is>
      </c>
      <c r="D287" s="4" t="inlineStr">
        <is>
          <t>404 page now sets its own title ("Page not found") as a server page around live's 3-second redirect (not-found.tsx + components/not-found-redirect.tsx), arrow as an icon; page error screen (error.tsx) uses Next 16's retry (re-fetches), shows a reference code for the server logs, links home and to the site index; new global-error.tsx for failures in the root layout itself (own &lt;html&gt;, plain links). Verified on a production build: missing page, missing essay and missing Kava page return 404 with the right title; a test page that throws returns 500 with the error screen, "Try again" re-fetches; phone and laptop, no sideways scroll (test page removed).</t>
        </is>
      </c>
      <c r="E287" s="14" t="inlineStr">
        <is>
          <t>Phase 12 — SEO Hardening, Redirects &amp; Cutover Prep</t>
        </is>
      </c>
    </row>
    <row r="288">
      <c r="A288" s="4" t="n"/>
      <c r="B288" s="4" t="inlineStr">
        <is>
          <t>SEO audit fixes (2026-10-06)</t>
        </is>
      </c>
      <c r="C288" s="13" t="inlineStr">
        <is>
          <t>Done</t>
        </is>
      </c>
      <c r="D288"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8" s="14" t="inlineStr">
        <is>
          <t>Phase 12 — SEO Hardening, Redirects &amp; Cutover Prep</t>
        </is>
      </c>
    </row>
    <row r="289">
      <c r="A289" s="4" t="n"/>
      <c r="B289" s="4" t="inlineStr">
        <is>
          <t>SEO audit items needing a yes (2026-10-06)</t>
        </is>
      </c>
      <c r="C289" s="15" t="inlineStr">
        <is>
          <t>Remaining</t>
        </is>
      </c>
      <c r="D289"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9" s="14" t="inlineStr">
        <is>
          <t>Phase 12 — SEO Hardening, Redirects &amp; Cutover Prep</t>
        </is>
      </c>
    </row>
    <row r="290">
      <c r="A290" s="4" t="n"/>
      <c r="B290" s="4" t="inlineStr">
        <is>
          <t>Connect Google Search Console + GA4 to the new deployment on day one of cutover</t>
        </is>
      </c>
      <c r="C290" s="15" t="inlineStr">
        <is>
          <t>Remaining</t>
        </is>
      </c>
      <c r="D290" s="4" t="inlineStr"/>
      <c r="E290" s="14" t="inlineStr">
        <is>
          <t>Phase 12 — SEO Hardening, Redirects &amp; Cutover Prep</t>
        </is>
      </c>
    </row>
    <row r="291">
      <c r="A291" s="4" t="n"/>
      <c r="B291" s="4" t="inlineStr">
        <is>
          <t>Restore/adapt the manus.space triple-layer noindex lockdown pattern for any remaining staging URLs</t>
        </is>
      </c>
      <c r="C291" s="13" t="inlineStr">
        <is>
          <t>Done</t>
        </is>
      </c>
      <c r="D291"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91" s="14" t="inlineStr">
        <is>
          <t>Phase 12 — SEO Hardening, Redirects &amp; Cutover Prep</t>
        </is>
      </c>
    </row>
    <row r="292">
      <c r="A292" s="4" t="n"/>
      <c r="B292" s="4" t="inlineStr">
        <is>
          <t>"Keep going" strip above the footer on every page (2026-10-07)</t>
        </is>
      </c>
      <c r="C292" s="13" t="inlineStr">
        <is>
          <t>Done</t>
        </is>
      </c>
      <c r="D292" s="4" t="inlineStr">
        <is>
          <t>legacy's WhereNext (deferred in Phase 3, never picked up) with its per-page suggestions, Home · Site Index · All Assessments; links pointed at current routes.</t>
        </is>
      </c>
      <c r="E292" s="14" t="inlineStr">
        <is>
          <t>Phase 12 — SEO Hardening, Redirects &amp; Cutover Prep</t>
        </is>
      </c>
    </row>
    <row r="293">
      <c r="A293" s="4" t="n"/>
      <c r="B293" s="4" t="inlineStr">
        <is>
          <t>Live-only and redesigned pages from the 2026-10-07 page sweep (188 pages compared with live)</t>
        </is>
      </c>
      <c r="C293" s="13" t="inlineStr">
        <is>
          <t>Done</t>
        </is>
      </c>
      <c r="D293"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93" s="14" t="inlineStr">
        <is>
          <t>Phase 12 — SEO Hardening, Redirects &amp; Cutover Prep</t>
        </is>
      </c>
    </row>
    <row r="294">
      <c r="A294" s="4" t="n"/>
      <c r="B294" s="4" t="inlineStr">
        <is>
          <t>/alex-azzi locked like live (2026-10-07, owner said match it)</t>
        </is>
      </c>
      <c r="C294" s="13" t="inlineStr">
        <is>
          <t>Done</t>
        </is>
      </c>
      <c r="D294" s="4" t="inlineStr">
        <is>
          <t>same server-checked password as the locked essay (GATED_POST_PASSWORD, now also set in Netlify), live's "Restricted Access" screen, the report not in the page until unlocked, out of search and the sitemap.</t>
        </is>
      </c>
      <c r="E294" s="14" t="inlineStr">
        <is>
          <t>Phase 12 — SEO Hardening, Redirects &amp; Cutover Prep</t>
        </is>
      </c>
    </row>
    <row r="295">
      <c r="A295" s="4" t="n"/>
      <c r="B295" s="4" t="inlineStr">
        <is>
          <t>Live's title fonts and sizes (2026-10-07, "fix the style")</t>
        </is>
      </c>
      <c r="C295" s="13" t="inlineStr">
        <is>
          <t>Done</t>
        </is>
      </c>
      <c r="D295"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95" s="14" t="inlineStr">
        <is>
          <t>Phase 12 — SEO Hardening, Redirects &amp; Cutover Prep</t>
        </is>
      </c>
    </row>
    <row r="296">
      <c r="A296" s="4" t="n"/>
      <c r="B296" s="4" t="inlineStr">
        <is>
          <t>Peptide page images rescued into Sanity and wired (2026-10-07)</t>
        </is>
      </c>
      <c r="C296" s="13" t="inlineStr">
        <is>
          <t>Done</t>
        </is>
      </c>
      <c r="D296" s="4" t="inlineStr">
        <is>
          <t>/peptide-watch hero plus its 11 section banners, /peptide-matrix and /peptide-supply-chain heroes, the /peptide-hall-of-shame hero (scripts/rescue-2026-10-07-peptide-images.ts, logged in docs/ai/manus-media-rescue.md).</t>
        </is>
      </c>
      <c r="E296" s="14" t="inlineStr">
        <is>
          <t>Phase 12 — SEO Hardening, Redirects &amp; Cutover Prep</t>
        </is>
      </c>
    </row>
    <row r="297">
      <c r="A297" s="4" t="n"/>
      <c r="B297" s="4" t="inlineStr">
        <is>
          <t>Live's editorial redesign, first group (2026-10-07)</t>
        </is>
      </c>
      <c r="C297" s="13" t="inlineStr">
        <is>
          <t>Done</t>
        </is>
      </c>
      <c r="D297"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7" s="14" t="inlineStr">
        <is>
          <t>Phase 12 — SEO Hardening, Redirects &amp; Cutover Prep</t>
        </is>
      </c>
    </row>
    <row r="298">
      <c r="A298" s="4" t="n"/>
      <c r="B298" s="4" t="inlineStr">
        <is>
          <t>Live's redesign, second group (done 2026-10-08)</t>
        </is>
      </c>
      <c r="C298" s="13" t="inlineStr">
        <is>
          <t>Done</t>
        </is>
      </c>
      <c r="D298"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8" s="14" t="inlineStr">
        <is>
          <t>Phase 12 — SEO Hardening, Redirects &amp; Cutover Prep</t>
        </is>
      </c>
    </row>
    <row r="299">
      <c r="A299" s="4" t="n"/>
      <c r="B299" s="4" t="inlineStr">
        <is>
          <t>BrewSoul top of page (2026-10-08, owner: "button in the center at the top doesn't look good")</t>
        </is>
      </c>
      <c r="C299" s="13" t="inlineStr">
        <is>
          <t>Done</t>
        </is>
      </c>
      <c r="D299"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9" s="14" t="inlineStr">
        <is>
          <t>Phase 12 — SEO Hardening, Redirects &amp; Cutover Prep</t>
        </is>
      </c>
    </row>
    <row r="300">
      <c r="A300" s="4" t="n"/>
      <c r="B300" s="4" t="inlineStr">
        <is>
          <t>/pri-efficacy's "Simulation / Live Calibrations" switch like live (2026-10-08)</t>
        </is>
      </c>
      <c r="C300" s="13" t="inlineStr">
        <is>
          <t>Done</t>
        </is>
      </c>
      <c r="D300"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300" s="14" t="inlineStr">
        <is>
          <t>Phase 12 — SEO Hardening, Redirects &amp; Cutover Prep</t>
        </is>
      </c>
    </row>
    <row r="301">
      <c r="A301" s="4" t="n"/>
      <c r="B301" s="4" t="inlineStr">
        <is>
          <t>/brewsoul/browse hero readable (2026-10-08, owner said go ahead)</t>
        </is>
      </c>
      <c r="C301" s="13" t="inlineStr">
        <is>
          <t>Done</t>
        </is>
      </c>
      <c r="D301" s="4" t="inlineStr">
        <is>
          <t>a soft cream glow behind the title block so "The Catalog", the subtitle and the stat labels read clearly over the coffee photo (live is hard to read there too; rule 20). Photo still shows around the edges. Checked at 390/1280px.</t>
        </is>
      </c>
      <c r="E301" s="14" t="inlineStr">
        <is>
          <t>Phase 12 — SEO Hardening, Redirects &amp; Cutover Prep</t>
        </is>
      </c>
    </row>
    <row r="302">
      <c r="A302" s="10" t="inlineStr">
        <is>
          <t>Phase 13 — Images Needed in Sanity</t>
        </is>
      </c>
      <c r="B302" s="11" t="n"/>
      <c r="C302" s="11" t="n"/>
      <c r="D302" s="12" t="n"/>
    </row>
    <row r="303">
      <c r="A303" s="4" t="n"/>
      <c r="B303" s="4" t="inlineStr">
        <is>
          <t>Manus media rescue (2026-09-29)</t>
        </is>
      </c>
      <c r="C303" s="13" t="inlineStr">
        <is>
          <t>Done</t>
        </is>
      </c>
      <c r="D303"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303" s="14" t="inlineStr">
        <is>
          <t>Phase 13 — Images Needed in Sanity</t>
        </is>
      </c>
    </row>
    <row r="304">
      <c r="A304" s="4" t="n"/>
      <c r="B304" s="4" t="inlineStr">
        <is>
          <t>Favicon</t>
        </is>
      </c>
      <c r="C304" s="13" t="inlineStr">
        <is>
          <t>Done</t>
        </is>
      </c>
      <c r="D304" s="4" t="inlineStr">
        <is>
          <t>real "G" brand mark generated from the header's actual wordmark treatment (src/app/icon.tsx), see Phase 3</t>
        </is>
      </c>
      <c r="E304" s="14" t="inlineStr">
        <is>
          <t>Phase 13 — Images Needed in Sanity</t>
        </is>
      </c>
    </row>
    <row r="305">
      <c r="A305" s="4" t="n"/>
      <c r="B305" s="4" t="inlineStr">
        <is>
          <t>Site-wide: logo (light + dark) beyond the current text wordmark</t>
        </is>
      </c>
      <c r="C305" s="15" t="inlineStr">
        <is>
          <t>Remaining</t>
        </is>
      </c>
      <c r="D305" s="4" t="inlineStr">
        <is>
          <t>(Default/fallback OG image 1200×630 exists: public/images/default-og.png, checked 2026-10-02.)</t>
        </is>
      </c>
      <c r="E305" s="14" t="inlineStr">
        <is>
          <t>Phase 13 — Images Needed in Sanity</t>
        </is>
      </c>
    </row>
    <row r="306">
      <c r="A306" s="4" t="n"/>
      <c r="B306" s="4" t="inlineStr">
        <is>
          <t>Author photo(s) for blog author schema (Tony Greenberg headshot at minimum)</t>
        </is>
      </c>
      <c r="C306" s="13" t="inlineStr">
        <is>
          <t>Done</t>
        </is>
      </c>
      <c r="D306" s="4" t="inlineStr">
        <is>
          <t>2026-10-02: the rescued headshot is already the author avatar in Sanity; now also in every post's Article JSON-LD (author image + url /about). The JSON-LD publisher logo pointed at /favicon.ico, a 404 here; now /icon.</t>
        </is>
      </c>
      <c r="E306" s="14" t="inlineStr">
        <is>
          <t>Phase 13 — Images Needed in Sanity</t>
        </is>
      </c>
    </row>
    <row r="307">
      <c r="A307" s="4" t="n"/>
      <c r="B307" s="4" t="inlineStr">
        <is>
          <t>Blog hero images</t>
        </is>
      </c>
      <c r="C307" s="13" t="inlineStr">
        <is>
          <t>Done</t>
        </is>
      </c>
      <c r="D307" s="4" t="inlineStr">
        <is>
          <t>audited, then migrated. Final state:</t>
        </is>
      </c>
      <c r="E307" s="14" t="inlineStr">
        <is>
          <t>Phase 13 — Images Needed in Sanity</t>
        </is>
      </c>
    </row>
    <row r="308">
      <c r="A308" s="4" t="n"/>
      <c r="B308" s="4" t="inlineStr">
        <is>
          <t>22 posts have a real hero image, now live in Sanity (17 already on RampRate's own CloudFront + 4 rescued from the legacy /api/img/ proxy + 1…</t>
        </is>
      </c>
      <c r="C308" s="13" t="inlineStr">
        <is>
          <t>Done</t>
        </is>
      </c>
      <c r="D308" s="4" t="inlineStr">
        <is>
          <t xml:space="preserve"> rescued from /manus-storage/, all pulled over by migrate-blog-posts.ts before Manus is decommissioned)</t>
        </is>
      </c>
      <c r="E308" s="14" t="inlineStr">
        <is>
          <t>Phase 13 — Images Needed in Sanity</t>
        </is>
      </c>
    </row>
    <row r="309">
      <c r="A309" s="4" t="n"/>
      <c r="B309" s="4" t="inlineStr">
        <is>
          <t>7 more posts got a real, unique hero image rescued from the live legacy site's newly-added art this pass (scripts/rescue-2026-09-blog-images…</t>
        </is>
      </c>
      <c r="C309" s="13" t="inlineStr">
        <is>
          <t>Done</t>
        </is>
      </c>
      <c r="D309"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9" s="14" t="inlineStr">
        <is>
          <t>Phase 13 — Images Needed in Sanity</t>
        </is>
      </c>
    </row>
    <row r="310">
      <c r="A310" s="4" t="n"/>
      <c r="B310" s="4" t="inlineStr">
        <is>
          <t>92 posts still need a real, unique hero image</t>
        </is>
      </c>
      <c r="C310" s="15" t="inlineStr">
        <is>
          <t>Remaining</t>
        </is>
      </c>
      <c r="D310"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10" s="14" t="inlineStr">
        <is>
          <t>Phase 13 — Images Needed in Sanity</t>
        </is>
      </c>
    </row>
    <row r="311">
      <c r="A311" s="4" t="n"/>
      <c r="B311" s="4" t="inlineStr">
        <is>
          <t>Blog: per-post OG image if different from hero (many posts can reuse hero as OG)</t>
        </is>
      </c>
      <c r="C311" s="13" t="inlineStr">
        <is>
          <t>Done</t>
        </is>
      </c>
      <c r="D311" s="4" t="inlineStr">
        <is>
          <t>Confirmed 2026-10-02: generateMetadata uses seo.ogImage, else the hero, else the default OG image.</t>
        </is>
      </c>
      <c r="E311" s="14" t="inlineStr">
        <is>
          <t>Phase 13 — Images Needed in Sanity</t>
        </is>
      </c>
    </row>
    <row r="312">
      <c r="A312" s="4" t="n"/>
      <c r="B312" s="4" t="inlineStr">
        <is>
          <t>Marketing pages</t>
        </is>
      </c>
      <c r="C312" s="13" t="inlineStr">
        <is>
          <t>Done</t>
        </is>
      </c>
      <c r="D312"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12" s="14" t="inlineStr">
        <is>
          <t>Phase 13 — Images Needed in Sanity</t>
        </is>
      </c>
    </row>
    <row r="313">
      <c r="A313" s="4" t="n"/>
      <c r="B313" s="4" t="inlineStr">
        <is>
          <t>/akbar essay images</t>
        </is>
      </c>
      <c r="C313" s="13" t="inlineStr">
        <is>
          <t>Done</t>
        </is>
      </c>
      <c r="D313"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13" s="14" t="inlineStr">
        <is>
          <t>Phase 13 — Images Needed in Sanity</t>
        </is>
      </c>
    </row>
    <row r="314">
      <c r="A314" s="4" t="n"/>
      <c r="B314" s="4" t="inlineStr">
        <is>
          <t>Rescued page images wired back in (2026-09-29)</t>
        </is>
      </c>
      <c r="C314" s="13" t="inlineStr">
        <is>
          <t>Done</t>
        </is>
      </c>
      <c r="D314"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14" s="14" t="inlineStr">
        <is>
          <t>Phase 13 — Images Needed in Sanity</t>
        </is>
      </c>
    </row>
    <row r="315">
      <c r="A315" s="4" t="n"/>
      <c r="B315" s="4" t="inlineStr">
        <is>
          <t>BrewSoul: coffee/product images (brewsoul-coffees-expanded.ts likely has image refs</t>
        </is>
      </c>
      <c r="C315" s="13" t="inlineStr">
        <is>
          <t>Done</t>
        </is>
      </c>
      <c r="D315"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15" s="14" t="inlineStr">
        <is>
          <t>Phase 13 — Images Needed in Sanity</t>
        </is>
      </c>
    </row>
    <row r="316">
      <c r="A316" s="4" t="n"/>
      <c r="B316" s="4" t="inlineStr">
        <is>
          <t>65 page images moved off the Manus storage copy into Sanity (2026-10-02)</t>
        </is>
      </c>
      <c r="C316" s="13" t="inlineStr">
        <is>
          <t>Done</t>
        </is>
      </c>
      <c r="D316"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16" s="14" t="inlineStr">
        <is>
          <t>Phase 13 — Images Needed in Sanity</t>
        </is>
      </c>
    </row>
    <row r="317">
      <c r="A317" s="4" t="n"/>
      <c r="B317" s="4" t="inlineStr">
        <is>
          <t>PRI/Kava: medicine reference images (medicine-images.ts), facility images for /facilitator-index</t>
        </is>
      </c>
      <c r="C317" s="13" t="inlineStr">
        <is>
          <t>Done</t>
        </is>
      </c>
      <c r="D317" s="4" t="inlineStr">
        <is>
          <t>2026-10-02: all in Sanity; image counts match live on PRI, Kava, Iboga, Peyote, facilitator pages.</t>
        </is>
      </c>
      <c r="E317" s="14" t="inlineStr">
        <is>
          <t>Phase 13 — Images Needed in Sanity</t>
        </is>
      </c>
    </row>
    <row r="318">
      <c r="A318" s="4" t="n"/>
      <c r="B318" s="4" t="inlineStr">
        <is>
          <t>Manifesto/Attention Theft: any diagram/illustration assets used on the mega-page</t>
        </is>
      </c>
      <c r="C318" s="13" t="inlineStr">
        <is>
          <t>Done</t>
        </is>
      </c>
      <c r="D318" s="4" t="inlineStr">
        <is>
          <t>2026-10-02: 6 of live's 7 are in (now in Sanity); the 7th belongs to the Wall of Shame section left out on purpose.</t>
        </is>
      </c>
      <c r="E318" s="14" t="inlineStr">
        <is>
          <t>Phase 13 — Images Needed in Sanity</t>
        </is>
      </c>
    </row>
    <row r="319">
      <c r="A319" s="4" t="n"/>
      <c r="B319" s="4" t="inlineStr">
        <is>
          <t>Assessment result-screen background art (flagged in STATUS.md as a known gap</t>
        </is>
      </c>
      <c r="C319" s="15" t="inlineStr">
        <is>
          <t>Remaining</t>
        </is>
      </c>
      <c r="D319" s="4" t="inlineStr">
        <is>
          <t>18/20 assessments currently have plain black backgrounds; sourcing themed art here also closes that gap)</t>
        </is>
      </c>
      <c r="E319" s="14" t="inlineStr">
        <is>
          <t>Phase 13 — Images Needed in Sanity</t>
        </is>
      </c>
    </row>
    <row r="320">
      <c r="A320" s="4" t="n"/>
      <c r="B320" s="4" t="inlineStr">
        <is>
          <t>Chatbot: FauxTony avatar/icon</t>
        </is>
      </c>
      <c r="C320" s="13" t="inlineStr">
        <is>
          <t>Done</t>
        </is>
      </c>
      <c r="D320" s="4" t="inlineStr">
        <is>
          <t>Not needed (2026-10-02): the chatbot phase (Phase 10) was cancelled.</t>
        </is>
      </c>
      <c r="E320" s="14" t="inlineStr">
        <is>
          <t>Phase 13 — Images Needed in Sanity</t>
        </is>
      </c>
    </row>
    <row r="321">
      <c r="A321" s="4" t="n"/>
      <c r="B321" s="4" t="inlineStr">
        <is>
          <t>Audit client/public/ (including alex-azzi/, brewsoul/ subfolders) for any static assets already sitting there unused that should be pulled i…</t>
        </is>
      </c>
      <c r="C321" s="13" t="inlineStr">
        <is>
          <t>Done</t>
        </is>
      </c>
      <c r="D321"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21" s="14" t="inlineStr">
        <is>
          <t>Phase 13 — Images Needed in Sanity</t>
        </is>
      </c>
    </row>
    <row r="322">
      <c r="A322" s="10" t="inlineStr">
        <is>
          <t>Phase 14 — QA &amp; Launch</t>
        </is>
      </c>
      <c r="B322" s="11" t="n"/>
      <c r="C322" s="11" t="n"/>
      <c r="D322" s="12" t="n"/>
    </row>
    <row r="323">
      <c r="A323" s="4" t="n"/>
      <c r="B323" s="4" t="inlineStr">
        <is>
          <t>Mobile responsive pass on every ported section</t>
        </is>
      </c>
      <c r="C323" s="15" t="inlineStr">
        <is>
          <t>Remaining</t>
        </is>
      </c>
      <c r="D323"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323" s="14" t="inlineStr">
        <is>
          <t>Phase 14 — QA &amp; Launch</t>
        </is>
      </c>
    </row>
    <row r="324">
      <c r="A324" s="4" t="n"/>
      <c r="B324" s="4" t="inlineStr">
        <is>
          <t>Accessibility pass (WCAG AA contrast, 44px touch targets, keyboard nav)</t>
        </is>
      </c>
      <c r="C324" s="13" t="inlineStr">
        <is>
          <t>Done</t>
        </is>
      </c>
      <c r="D324"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24" s="14" t="inlineStr">
        <is>
          <t>Phase 14 — QA &amp; Launch</t>
        </is>
      </c>
    </row>
    <row r="325">
      <c r="A325" s="4" t="n"/>
      <c r="B325" s="4" t="inlineStr">
        <is>
          <t>No dead-end pages (every page links to 2+ others)</t>
        </is>
      </c>
      <c r="C325" s="15" t="inlineStr">
        <is>
          <t>Remaining</t>
        </is>
      </c>
      <c r="D325"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25" s="14" t="inlineStr">
        <is>
          <t>Phase 14 — QA &amp; Launch</t>
        </is>
      </c>
    </row>
    <row r="326">
      <c r="A326" s="4" t="n"/>
      <c r="B326" s="4" t="inlineStr">
        <is>
          <t>Cross-browser check (Safari iOS in particular, per legacy performance notes) 2026-10-06 WebKit pass (Playwright WebKit, iPhone 13 profile, 1…</t>
        </is>
      </c>
      <c r="C326" s="15" t="inlineStr">
        <is>
          <t>Remaining</t>
        </is>
      </c>
      <c r="D326"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26" s="14" t="inlineStr">
        <is>
          <t>Phase 14 — QA &amp; Launch</t>
        </is>
      </c>
    </row>
    <row r="327">
      <c r="A327" s="4" t="n"/>
      <c r="B327" s="4" t="inlineStr">
        <is>
          <t>Remove noindex only when sign-off is given</t>
        </is>
      </c>
      <c r="C327" s="15" t="inlineStr">
        <is>
          <t>Remaining</t>
        </is>
      </c>
      <c r="D327" s="4" t="inlineStr">
        <is>
          <t>do not launch indexable by accident (The only noindex is the host-based one for *.netlify.app above, so the real domain is indexable as soon as DNS points at it: sign-off must come before DNS.)</t>
        </is>
      </c>
      <c r="E327" s="14" t="inlineStr">
        <is>
          <t>Phase 14 — QA &amp; Launch</t>
        </is>
      </c>
    </row>
    <row r="328">
      <c r="A328" s="4" t="n"/>
      <c r="B328" s="4" t="inlineStr">
        <is>
          <t>Final stakeholder sign-off (Tony/Darryl/Kimberly) on the ported site before DNS cutover</t>
        </is>
      </c>
      <c r="C328" s="15" t="inlineStr">
        <is>
          <t>Remaining</t>
        </is>
      </c>
      <c r="D328" s="4" t="inlineStr"/>
      <c r="E328" s="14" t="inlineStr">
        <is>
          <t>Phase 14 — QA &amp; Launch</t>
        </is>
      </c>
    </row>
    <row r="329">
      <c r="A329" s="4" t="n"/>
      <c r="B329" s="4" t="inlineStr">
        <is>
          <t>DNS cutover, legacy app decommissioned only after a stable overlap window</t>
        </is>
      </c>
      <c r="C329" s="15" t="inlineStr">
        <is>
          <t>Remaining</t>
        </is>
      </c>
      <c r="D329" s="4" t="inlineStr"/>
      <c r="E329" s="14" t="inlineStr">
        <is>
          <t>Phase 14 — QA &amp; Launch</t>
        </is>
      </c>
    </row>
  </sheetData>
  <autoFilter ref="A1:D329"/>
  <mergeCells count="14">
    <mergeCell ref="A150:D150"/>
    <mergeCell ref="A322:D322"/>
    <mergeCell ref="A237:D237"/>
    <mergeCell ref="A58:D58"/>
    <mergeCell ref="A258:D258"/>
    <mergeCell ref="A209:D209"/>
    <mergeCell ref="A205:D205"/>
    <mergeCell ref="A15:D15"/>
    <mergeCell ref="A302:D302"/>
    <mergeCell ref="A43:D43"/>
    <mergeCell ref="A2:D2"/>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6"/>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4" t="n"/>
      <c r="B11" s="4" t="inlineStr">
        <is>
          <t>Test the new review end to end on a deploy preview</t>
        </is>
      </c>
      <c r="C11" s="15" t="inlineStr">
        <is>
          <t>Remaining</t>
        </is>
      </c>
      <c r="D11" s="4" t="inlineStr">
        <is>
          <t>(needs a yes, it opens a real pull request): one throwaway change from Claude.ai or ChatGPT: start (unclear request, so the confirm step shows), confirm, edit, review card, screenshots, upload link, then discard.</t>
        </is>
      </c>
      <c r="E11" s="14" t="inlineStr">
        <is>
          <t>Phase 11 — Code MCP Server — REBUILT (2026-09-29)</t>
        </is>
      </c>
    </row>
    <row r="12">
      <c r="A12" s="10" t="inlineStr">
        <is>
          <t>Phase 12 — SEO Hardening, Redirects &amp; Cutover Prep</t>
        </is>
      </c>
      <c r="B12" s="11" t="n"/>
      <c r="C12" s="11" t="n"/>
      <c r="D12" s="12" t="n"/>
    </row>
    <row r="13">
      <c r="A13" s="4" t="n"/>
      <c r="B13" s="4" t="inlineStr">
        <is>
          <t>Lighthouse pass (performance/accessibility/SEO) on top 20 pages by traffic 2026-09-30, 20 key pages (no traffic data yet), local production …</t>
        </is>
      </c>
      <c r="C13" s="15" t="inlineStr">
        <is>
          <t>Remaining</t>
        </is>
      </c>
      <c r="D13"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3" s="14" t="inlineStr">
        <is>
          <t>Phase 12 — SEO Hardening, Redirects &amp; Cutover Prep</t>
        </is>
      </c>
    </row>
    <row r="14">
      <c r="A14" s="4" t="n"/>
      <c r="B14" s="4" t="inlineStr">
        <is>
          <t>SEO audit items needing a yes (2026-10-06)</t>
        </is>
      </c>
      <c r="C14" s="15" t="inlineStr">
        <is>
          <t>Remaining</t>
        </is>
      </c>
      <c r="D14"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4" s="14" t="inlineStr">
        <is>
          <t>Phase 12 — SEO Hardening, Redirects &amp; Cutover Prep</t>
        </is>
      </c>
    </row>
    <row r="15">
      <c r="A15" s="4" t="n"/>
      <c r="B15" s="4" t="inlineStr">
        <is>
          <t>Connect Google Search Console + GA4 to the new deployment on day one of cutover</t>
        </is>
      </c>
      <c r="C15" s="15" t="inlineStr">
        <is>
          <t>Remaining</t>
        </is>
      </c>
      <c r="D15" s="4" t="inlineStr"/>
      <c r="E15" s="14" t="inlineStr">
        <is>
          <t>Phase 12 — SEO Hardening, Redirects &amp; Cutover Prep</t>
        </is>
      </c>
    </row>
    <row r="16">
      <c r="A16" s="10" t="inlineStr">
        <is>
          <t>Phase 13 — Images Needed in Sanity</t>
        </is>
      </c>
      <c r="B16" s="11" t="n"/>
      <c r="C16" s="11" t="n"/>
      <c r="D16" s="12" t="n"/>
    </row>
    <row r="17">
      <c r="A17" s="4" t="n"/>
      <c r="B17" s="4" t="inlineStr">
        <is>
          <t>Site-wide: logo (light + dark) beyond the current text wordmark</t>
        </is>
      </c>
      <c r="C17" s="15" t="inlineStr">
        <is>
          <t>Remaining</t>
        </is>
      </c>
      <c r="D17" s="4" t="inlineStr">
        <is>
          <t>(Default/fallback OG image 1200×630 exists: public/images/default-og.png, checked 2026-10-02.)</t>
        </is>
      </c>
      <c r="E17" s="14" t="inlineStr">
        <is>
          <t>Phase 13 — Images Needed in Sanity</t>
        </is>
      </c>
    </row>
    <row r="18">
      <c r="A18" s="4" t="n"/>
      <c r="B18" s="4" t="inlineStr">
        <is>
          <t>92 posts still need a real, unique hero image</t>
        </is>
      </c>
      <c r="C18" s="15" t="inlineStr">
        <is>
          <t>Remaining</t>
        </is>
      </c>
      <c r="D18"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8" s="14" t="inlineStr">
        <is>
          <t>Phase 13 — Images Needed in Sanity</t>
        </is>
      </c>
    </row>
    <row r="19">
      <c r="A19" s="4" t="n"/>
      <c r="B19" s="4" t="inlineStr">
        <is>
          <t>Assessment result-screen background art (flagged in STATUS.md as a known gap</t>
        </is>
      </c>
      <c r="C19" s="15" t="inlineStr">
        <is>
          <t>Remaining</t>
        </is>
      </c>
      <c r="D19" s="4" t="inlineStr">
        <is>
          <t>18/20 assessments currently have plain black backgrounds; sourcing themed art here also closes that gap)</t>
        </is>
      </c>
      <c r="E19" s="14" t="inlineStr">
        <is>
          <t>Phase 13 — Images Needed in Sanity</t>
        </is>
      </c>
    </row>
    <row r="20">
      <c r="A20" s="10" t="inlineStr">
        <is>
          <t>Phase 14 — QA &amp; Launch</t>
        </is>
      </c>
      <c r="B20" s="11" t="n"/>
      <c r="C20" s="11" t="n"/>
      <c r="D20" s="12" t="n"/>
    </row>
    <row r="21">
      <c r="A21" s="4" t="n"/>
      <c r="B21" s="4" t="inlineStr">
        <is>
          <t>Mobile responsive pass on every ported section</t>
        </is>
      </c>
      <c r="C21" s="15" t="inlineStr">
        <is>
          <t>Remaining</t>
        </is>
      </c>
      <c r="D21"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 Fixed 2026-10-09: the bar is now solid (bg-[#2C1810], was 92% plus backdrop-blur-md), so nothing can show through even where the blur isn't drawn; checked in WebKit (iPhone 13 profile) and Chrome: background rgb(44, 24, 16), no text behind the buttons. A real iPhone check is still part of Phase 14.</t>
        </is>
      </c>
      <c r="E21" s="14" t="inlineStr">
        <is>
          <t>Phase 14 — QA &amp; Launch</t>
        </is>
      </c>
    </row>
    <row r="22">
      <c r="A22" s="4" t="n"/>
      <c r="B22" s="4" t="inlineStr">
        <is>
          <t>No dead-end pages (every page links to 2+ others)</t>
        </is>
      </c>
      <c r="C22" s="15" t="inlineStr">
        <is>
          <t>Remaining</t>
        </is>
      </c>
      <c r="D22"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2" s="14" t="inlineStr">
        <is>
          <t>Phase 14 — QA &amp; Launch</t>
        </is>
      </c>
    </row>
    <row r="23">
      <c r="A23" s="4" t="n"/>
      <c r="B23" s="4" t="inlineStr">
        <is>
          <t>Cross-browser check (Safari iOS in particular, per legacy performance notes) 2026-10-06 WebKit pass (Playwright WebKit, iPhone 13 profile, 1…</t>
        </is>
      </c>
      <c r="C23" s="15" t="inlineStr">
        <is>
          <t>Remaining</t>
        </is>
      </c>
      <c r="D23"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3" s="14" t="inlineStr">
        <is>
          <t>Phase 14 — QA &amp; Launch</t>
        </is>
      </c>
    </row>
    <row r="24">
      <c r="A24" s="4" t="n"/>
      <c r="B24" s="4" t="inlineStr">
        <is>
          <t>Remove noindex only when sign-off is given</t>
        </is>
      </c>
      <c r="C24" s="15" t="inlineStr">
        <is>
          <t>Remaining</t>
        </is>
      </c>
      <c r="D24" s="4" t="inlineStr">
        <is>
          <t>do not launch indexable by accident (The only noindex is the host-based one for *.netlify.app above, so the real domain is indexable as soon as DNS points at it: sign-off must come before DNS.)</t>
        </is>
      </c>
      <c r="E24" s="14" t="inlineStr">
        <is>
          <t>Phase 14 — QA &amp; Launch</t>
        </is>
      </c>
    </row>
    <row r="25">
      <c r="A25" s="4" t="n"/>
      <c r="B25" s="4" t="inlineStr">
        <is>
          <t>Final stakeholder sign-off (Tony/Darryl/Kimberly) on the ported site before DNS cutover</t>
        </is>
      </c>
      <c r="C25" s="15" t="inlineStr">
        <is>
          <t>Remaining</t>
        </is>
      </c>
      <c r="D25" s="4" t="inlineStr"/>
      <c r="E25" s="14" t="inlineStr">
        <is>
          <t>Phase 14 — QA &amp; Launch</t>
        </is>
      </c>
    </row>
    <row r="26">
      <c r="A26" s="4" t="n"/>
      <c r="B26" s="4" t="inlineStr">
        <is>
          <t>DNS cutover, legacy app decommissioned only after a stable overlap window</t>
        </is>
      </c>
      <c r="C26" s="15" t="inlineStr">
        <is>
          <t>Remaining</t>
        </is>
      </c>
      <c r="D26" s="4" t="inlineStr"/>
      <c r="E26" s="14" t="inlineStr">
        <is>
          <t>Phase 14 — QA &amp; Launch</t>
        </is>
      </c>
    </row>
  </sheetData>
  <autoFilter ref="A1:D26"/>
  <mergeCells count="6">
    <mergeCell ref="A5:D5"/>
    <mergeCell ref="A12:D12"/>
    <mergeCell ref="A20:D20"/>
    <mergeCell ref="A7:D7"/>
    <mergeCell ref="A2:D2"/>
    <mergeCell ref="A16:D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2026-10-08T20:51:26Z</dcterms:created>
  <dcterms:modified xsi:type="dcterms:W3CDTF">2026-10-08T20:51:26Z</dcterms:modified>
</cp:coreProperties>
</file>